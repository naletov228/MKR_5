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63\Downloads\"/>
    </mc:Choice>
  </mc:AlternateContent>
  <bookViews>
    <workbookView xWindow="0" yWindow="0" windowWidth="15765" windowHeight="775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1" l="1"/>
  <c r="G4" i="1"/>
  <c r="G13" i="1"/>
  <c r="J13" i="1"/>
  <c r="P13" i="1"/>
  <c r="H13" i="1"/>
  <c r="N13" i="1"/>
  <c r="O13" i="1"/>
  <c r="Q13" i="1"/>
  <c r="H4" i="1"/>
  <c r="Q4" i="1"/>
  <c r="I3" i="1"/>
  <c r="J3" i="1" s="1"/>
  <c r="K3" i="1" s="1"/>
  <c r="L3" i="1" s="1"/>
  <c r="M3" i="1" s="1"/>
  <c r="N3" i="1" s="1"/>
  <c r="O3" i="1" s="1"/>
  <c r="P3" i="1" s="1"/>
  <c r="P4" i="1" s="1"/>
  <c r="H3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P10" i="1" l="1"/>
  <c r="H10" i="1"/>
  <c r="G10" i="1"/>
  <c r="Q17" i="1"/>
  <c r="Q18" i="1" s="1"/>
  <c r="Q19" i="1" s="1"/>
  <c r="O17" i="1"/>
  <c r="O18" i="1" s="1"/>
  <c r="O19" i="1" s="1"/>
  <c r="N17" i="1"/>
  <c r="N18" i="1" s="1"/>
  <c r="N19" i="1" s="1"/>
  <c r="Q10" i="1"/>
  <c r="I4" i="1"/>
  <c r="G14" i="1"/>
  <c r="J17" i="1"/>
  <c r="J18" i="1" s="1"/>
  <c r="J19" i="1" s="1"/>
  <c r="M13" i="1"/>
  <c r="P17" i="1"/>
  <c r="P18" i="1" s="1"/>
  <c r="P19" i="1" s="1"/>
  <c r="H17" i="1"/>
  <c r="H18" i="1" s="1"/>
  <c r="H19" i="1" s="1"/>
  <c r="N4" i="1"/>
  <c r="N10" i="1" s="1"/>
  <c r="L13" i="1"/>
  <c r="G17" i="1"/>
  <c r="G18" i="1" s="1"/>
  <c r="G19" i="1" s="1"/>
  <c r="O4" i="1"/>
  <c r="O10" i="1" s="1"/>
  <c r="O11" i="1" s="1"/>
  <c r="O14" i="1" s="1"/>
  <c r="M4" i="1"/>
  <c r="K13" i="1"/>
  <c r="J4" i="1"/>
  <c r="J10" i="1" s="1"/>
  <c r="L4" i="1"/>
  <c r="K4" i="1"/>
  <c r="I13" i="1"/>
  <c r="G11" i="1" l="1"/>
  <c r="P11" i="1"/>
  <c r="P14" i="1" s="1"/>
  <c r="L10" i="1"/>
  <c r="I10" i="1"/>
  <c r="H11" i="1" s="1"/>
  <c r="H14" i="1" s="1"/>
  <c r="M10" i="1"/>
  <c r="M11" i="1" s="1"/>
  <c r="M14" i="1" s="1"/>
  <c r="N11" i="1"/>
  <c r="N14" i="1" s="1"/>
  <c r="K17" i="1"/>
  <c r="K18" i="1" s="1"/>
  <c r="K19" i="1" s="1"/>
  <c r="M17" i="1"/>
  <c r="M18" i="1" s="1"/>
  <c r="M19" i="1" s="1"/>
  <c r="I17" i="1"/>
  <c r="I18" i="1" s="1"/>
  <c r="I19" i="1" s="1"/>
  <c r="K10" i="1"/>
  <c r="L17" i="1"/>
  <c r="L18" i="1" s="1"/>
  <c r="L19" i="1" s="1"/>
  <c r="K11" i="1" l="1"/>
  <c r="K14" i="1" s="1"/>
  <c r="J11" i="1"/>
  <c r="J14" i="1" s="1"/>
  <c r="L11" i="1"/>
  <c r="L14" i="1" s="1"/>
  <c r="I11" i="1"/>
  <c r="I14" i="1" s="1"/>
</calcChain>
</file>

<file path=xl/sharedStrings.xml><?xml version="1.0" encoding="utf-8"?>
<sst xmlns="http://schemas.openxmlformats.org/spreadsheetml/2006/main" count="24" uniqueCount="19">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</sst>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6" formatCode="0.00000"/>
    <numFmt numFmtId="167" formatCode="0.0000"/>
    <numFmt numFmtId="168" formatCode="0.000"/>
    <numFmt numFmtId="169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0" xfId="0" applyFill="1" applyBorder="1"/>
    <xf numFmtId="0" fontId="0" fillId="0" borderId="0" xfId="0" applyBorder="1"/>
    <xf numFmtId="166" fontId="0" fillId="0" borderId="1" xfId="0" applyNumberFormat="1" applyBorder="1"/>
    <xf numFmtId="167" fontId="0" fillId="0" borderId="1" xfId="0" applyNumberFormat="1" applyBorder="1"/>
    <xf numFmtId="168" fontId="0" fillId="0" borderId="1" xfId="0" applyNumberFormat="1" applyBorder="1"/>
    <xf numFmtId="2" fontId="0" fillId="0" borderId="1" xfId="0" applyNumberFormat="1" applyBorder="1"/>
    <xf numFmtId="169" fontId="0" fillId="0" borderId="1" xfId="0" applyNumberFormat="1" applyBorder="1"/>
    <xf numFmtId="1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48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332461252146826E-2"/>
          <c:y val="0.17171296296296296"/>
          <c:w val="0.8050236787522608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Лист1!$F$3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3884016"/>
        <c:axId val="1133883472"/>
      </c:lineChart>
      <c:catAx>
        <c:axId val="113388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3883472"/>
        <c:crosses val="autoZero"/>
        <c:auto val="1"/>
        <c:lblAlgn val="ctr"/>
        <c:lblOffset val="100"/>
        <c:noMultiLvlLbl val="0"/>
      </c:catAx>
      <c:valAx>
        <c:axId val="11338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388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59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150481189851271E-2"/>
          <c:y val="0.17171296296296296"/>
          <c:w val="0.71851618547681539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Лист1!$F$10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Лист1!$G$10:$Q$10</c:f>
              <c:numCache>
                <c:formatCode>0.000</c:formatCode>
                <c:ptCount val="11"/>
                <c:pt idx="0">
                  <c:v>1.3663197670643263</c:v>
                </c:pt>
                <c:pt idx="1">
                  <c:v>1.3663230263056276</c:v>
                </c:pt>
                <c:pt idx="2">
                  <c:v>1.3665061703250156</c:v>
                </c:pt>
                <c:pt idx="3">
                  <c:v>1.3667709625642646</c:v>
                </c:pt>
                <c:pt idx="4">
                  <c:v>1.3670844463740892</c:v>
                </c:pt>
                <c:pt idx="5">
                  <c:v>1.3674102353600908</c:v>
                </c:pt>
                <c:pt idx="6">
                  <c:v>1.3677115104077038</c:v>
                </c:pt>
                <c:pt idx="7">
                  <c:v>1.3679558661344997</c:v>
                </c:pt>
                <c:pt idx="8">
                  <c:v>1.3681219499556712</c:v>
                </c:pt>
                <c:pt idx="9">
                  <c:v>1.3682067248782557</c:v>
                </c:pt>
                <c:pt idx="10">
                  <c:v>1.368230019724868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Лист1!$F$10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Лист1!$G$10:$Q$10</c:f>
              <c:numCache>
                <c:formatCode>0.000</c:formatCode>
                <c:ptCount val="11"/>
                <c:pt idx="0">
                  <c:v>1.3663197670643263</c:v>
                </c:pt>
                <c:pt idx="1">
                  <c:v>1.3663230263056276</c:v>
                </c:pt>
                <c:pt idx="2">
                  <c:v>1.3665061703250156</c:v>
                </c:pt>
                <c:pt idx="3">
                  <c:v>1.3667709625642646</c:v>
                </c:pt>
                <c:pt idx="4">
                  <c:v>1.3670844463740892</c:v>
                </c:pt>
                <c:pt idx="5">
                  <c:v>1.3674102353600908</c:v>
                </c:pt>
                <c:pt idx="6">
                  <c:v>1.3677115104077038</c:v>
                </c:pt>
                <c:pt idx="7">
                  <c:v>1.3679558661344997</c:v>
                </c:pt>
                <c:pt idx="8">
                  <c:v>1.3681219499556712</c:v>
                </c:pt>
                <c:pt idx="9">
                  <c:v>1.3682067248782557</c:v>
                </c:pt>
                <c:pt idx="10">
                  <c:v>1.368230019724868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3882384"/>
        <c:axId val="1133890000"/>
      </c:lineChart>
      <c:catAx>
        <c:axId val="11338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3890000"/>
        <c:crosses val="autoZero"/>
        <c:auto val="1"/>
        <c:lblAlgn val="ctr"/>
        <c:lblOffset val="100"/>
        <c:noMultiLvlLbl val="0"/>
      </c:catAx>
      <c:valAx>
        <c:axId val="113389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388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3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Лист1!$G$6:$Q$6</c:f>
              <c:numCache>
                <c:formatCode>General</c:formatCode>
                <c:ptCount val="11"/>
                <c:pt idx="0">
                  <c:v>133051.52605921644</c:v>
                </c:pt>
                <c:pt idx="1">
                  <c:v>132585.00887496024</c:v>
                </c:pt>
                <c:pt idx="2">
                  <c:v>131975.33222654188</c:v>
                </c:pt>
                <c:pt idx="3">
                  <c:v>131167.0237309454</c:v>
                </c:pt>
                <c:pt idx="4">
                  <c:v>130077.43846014728</c:v>
                </c:pt>
                <c:pt idx="5">
                  <c:v>128580.98395327538</c:v>
                </c:pt>
                <c:pt idx="6">
                  <c:v>126481.59628678391</c:v>
                </c:pt>
                <c:pt idx="7">
                  <c:v>123463.63627072446</c:v>
                </c:pt>
                <c:pt idx="8">
                  <c:v>119000.62894825015</c:v>
                </c:pt>
                <c:pt idx="9">
                  <c:v>112177.50418921013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4134304"/>
        <c:axId val="1054134848"/>
      </c:lineChart>
      <c:catAx>
        <c:axId val="105413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4134848"/>
        <c:crosses val="autoZero"/>
        <c:auto val="1"/>
        <c:lblAlgn val="ctr"/>
        <c:lblOffset val="100"/>
        <c:noMultiLvlLbl val="0"/>
      </c:catAx>
      <c:valAx>
        <c:axId val="105413484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4134304"/>
        <c:crosses val="autoZero"/>
        <c:crossBetween val="between"/>
      </c:valAx>
      <c:spPr>
        <a:noFill/>
        <a:ln>
          <a:solidFill>
            <a:schemeClr val="dk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873E-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493775899152129"/>
          <c:y val="0.19486111111111112"/>
          <c:w val="0.74507174103237095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Лист1!$G$13:$Q$13</c:f>
              <c:numCache>
                <c:formatCode>General</c:formatCode>
                <c:ptCount val="11"/>
                <c:pt idx="0">
                  <c:v>57.346135224803419</c:v>
                </c:pt>
                <c:pt idx="1">
                  <c:v>63.541575644546448</c:v>
                </c:pt>
                <c:pt idx="2">
                  <c:v>70.807356544252258</c:v>
                </c:pt>
                <c:pt idx="3">
                  <c:v>79.398024165451432</c:v>
                </c:pt>
                <c:pt idx="4">
                  <c:v>89.653484006000923</c:v>
                </c:pt>
                <c:pt idx="5">
                  <c:v>102.03005072293041</c:v>
                </c:pt>
                <c:pt idx="6">
                  <c:v>117.1521396307309</c:v>
                </c:pt>
                <c:pt idx="7">
                  <c:v>135.89302800468184</c:v>
                </c:pt>
                <c:pt idx="8">
                  <c:v>159.50493076650253</c:v>
                </c:pt>
                <c:pt idx="9">
                  <c:v>189.83581218044736</c:v>
                </c:pt>
                <c:pt idx="10">
                  <c:v>229.70524359275763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596464"/>
        <c:axId val="987591024"/>
      </c:lineChart>
      <c:catAx>
        <c:axId val="98759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7591024"/>
        <c:crosses val="autoZero"/>
        <c:auto val="1"/>
        <c:lblAlgn val="ctr"/>
        <c:lblOffset val="100"/>
        <c:noMultiLvlLbl val="0"/>
      </c:catAx>
      <c:valAx>
        <c:axId val="9875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759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585786</xdr:colOff>
      <xdr:row>20</xdr:row>
      <xdr:rowOff>61912</xdr:rowOff>
    </xdr:from>
    <xdr:to>
      <xdr:col>8</xdr:col>
      <xdr:colOff>447674</xdr:colOff>
      <xdr:row>34</xdr:row>
      <xdr:rowOff>138112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20</xdr:row>
      <xdr:rowOff>71437</xdr:rowOff>
    </xdr:from>
    <xdr:to>
      <xdr:col>16</xdr:col>
      <xdr:colOff>257175</xdr:colOff>
      <xdr:row>34</xdr:row>
      <xdr:rowOff>147637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50986</xdr:colOff>
      <xdr:row>36</xdr:row>
      <xdr:rowOff>53508</xdr:rowOff>
    </xdr:from>
    <xdr:to>
      <xdr:col>8</xdr:col>
      <xdr:colOff>284629</xdr:colOff>
      <xdr:row>50</xdr:row>
      <xdr:rowOff>129708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158619</xdr:colOff>
      <xdr:row>36</xdr:row>
      <xdr:rowOff>20264</xdr:rowOff>
    </xdr:from>
    <xdr:to>
      <xdr:col>16</xdr:col>
      <xdr:colOff>263394</xdr:colOff>
      <xdr:row>50</xdr:row>
      <xdr:rowOff>96464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133350</xdr:rowOff>
        </xdr:from>
        <xdr:to>
          <xdr:col>3</xdr:col>
          <xdr:colOff>361950</xdr:colOff>
          <xdr:row>18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X24"/>
  <sheetViews>
    <sheetView tabSelected="1" zoomScale="70" zoomScaleNormal="70" workbookViewId="0">
      <selection activeCell="X22" sqref="X22"/>
    </sheetView>
  </sheetViews>
  <sheetFormatPr defaultRowHeight="15" x14ac:dyDescent="0.25"/>
  <cols>
    <col min="7" max="7" width="9.7109375" bestFit="1" customWidth="1"/>
    <col min="8" max="17" width="9.5703125" bestFit="1" customWidth="1"/>
  </cols>
  <sheetData>
    <row r="1" spans="2:17" x14ac:dyDescent="0.25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 x14ac:dyDescent="0.25">
      <c r="F2" s="1" t="s">
        <v>10</v>
      </c>
      <c r="G2" s="1">
        <v>0</v>
      </c>
      <c r="H2" s="1">
        <f>G2+$C$4</f>
        <v>0.01</v>
      </c>
      <c r="I2" s="1">
        <f t="shared" ref="I2:Q2" si="0">H2+$C$4</f>
        <v>0.02</v>
      </c>
      <c r="J2" s="1">
        <f t="shared" si="0"/>
        <v>0.03</v>
      </c>
      <c r="K2" s="1">
        <f t="shared" si="0"/>
        <v>0.04</v>
      </c>
      <c r="L2" s="1">
        <f t="shared" si="0"/>
        <v>0.05</v>
      </c>
      <c r="M2" s="1">
        <f t="shared" si="0"/>
        <v>6.0000000000000005E-2</v>
      </c>
      <c r="N2" s="1">
        <f t="shared" si="0"/>
        <v>7.0000000000000007E-2</v>
      </c>
      <c r="O2" s="1">
        <f t="shared" si="0"/>
        <v>0.08</v>
      </c>
      <c r="P2" s="1">
        <f t="shared" si="0"/>
        <v>0.09</v>
      </c>
      <c r="Q2" s="1">
        <f t="shared" si="0"/>
        <v>9.9999999999999992E-2</v>
      </c>
    </row>
    <row r="3" spans="2:17" x14ac:dyDescent="0.25">
      <c r="B3" s="1" t="s">
        <v>0</v>
      </c>
      <c r="C3" s="1">
        <v>0.1</v>
      </c>
      <c r="F3" s="1" t="s">
        <v>3</v>
      </c>
      <c r="G3" s="1">
        <v>0.08</v>
      </c>
      <c r="H3" s="1">
        <f>G3+($Q$3-$G$3)/10</f>
        <v>7.5999999999999998E-2</v>
      </c>
      <c r="I3" s="1">
        <f t="shared" ref="I3:P3" si="1">H3+($Q$3-$G$3)/10</f>
        <v>7.1999999999999995E-2</v>
      </c>
      <c r="J3" s="1">
        <f t="shared" si="1"/>
        <v>6.7999999999999991E-2</v>
      </c>
      <c r="K3" s="1">
        <f t="shared" si="1"/>
        <v>6.3999999999999987E-2</v>
      </c>
      <c r="L3" s="1">
        <f t="shared" si="1"/>
        <v>5.9999999999999984E-2</v>
      </c>
      <c r="M3" s="1">
        <f t="shared" si="1"/>
        <v>5.599999999999998E-2</v>
      </c>
      <c r="N3" s="1">
        <f t="shared" si="1"/>
        <v>5.1999999999999977E-2</v>
      </c>
      <c r="O3" s="1">
        <f t="shared" si="1"/>
        <v>4.7999999999999973E-2</v>
      </c>
      <c r="P3" s="1">
        <f t="shared" si="1"/>
        <v>4.399999999999997E-2</v>
      </c>
      <c r="Q3" s="1">
        <v>0.04</v>
      </c>
    </row>
    <row r="4" spans="2:17" x14ac:dyDescent="0.25">
      <c r="B4" s="1" t="s">
        <v>1</v>
      </c>
      <c r="C4" s="1">
        <f>C3/10</f>
        <v>0.01</v>
      </c>
      <c r="F4" s="1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25">
      <c r="F5" s="1" t="s">
        <v>12</v>
      </c>
      <c r="G5" s="1">
        <v>57.345999103135519</v>
      </c>
      <c r="H5" s="1">
        <v>63.541424071804343</v>
      </c>
      <c r="I5" s="1">
        <v>70.80714265616993</v>
      </c>
      <c r="J5" s="1">
        <v>79.397771984047765</v>
      </c>
      <c r="K5" s="1">
        <v>89.653220428711691</v>
      </c>
      <c r="L5" s="1">
        <v>102.02980327193542</v>
      </c>
      <c r="M5" s="1">
        <v>117.15193281912278</v>
      </c>
      <c r="N5" s="1">
        <v>135.89287838336543</v>
      </c>
      <c r="O5" s="1">
        <v>159.50484154612215</v>
      </c>
      <c r="P5" s="1">
        <v>189.83576989662194</v>
      </c>
      <c r="Q5" s="1">
        <v>229.70522138401481</v>
      </c>
    </row>
    <row r="6" spans="2:17" x14ac:dyDescent="0.25">
      <c r="B6" s="1" t="s">
        <v>2</v>
      </c>
      <c r="C6" s="1">
        <v>1.4</v>
      </c>
      <c r="F6" s="1" t="s">
        <v>7</v>
      </c>
      <c r="G6" s="1">
        <v>133051.52605921644</v>
      </c>
      <c r="H6" s="1">
        <v>132585.00887496024</v>
      </c>
      <c r="I6" s="1">
        <v>131975.33222654188</v>
      </c>
      <c r="J6" s="1">
        <v>131167.0237309454</v>
      </c>
      <c r="K6" s="1">
        <v>130077.43846014728</v>
      </c>
      <c r="L6" s="1">
        <v>128580.98395327538</v>
      </c>
      <c r="M6" s="1">
        <v>126481.59628678391</v>
      </c>
      <c r="N6" s="1">
        <v>123463.63627072446</v>
      </c>
      <c r="O6" s="1">
        <v>119000.62894825015</v>
      </c>
      <c r="P6" s="1">
        <v>112177.50418921013</v>
      </c>
      <c r="Q6" s="1">
        <v>101325</v>
      </c>
    </row>
    <row r="7" spans="2:17" x14ac:dyDescent="0.25">
      <c r="B7" s="1" t="s">
        <v>3</v>
      </c>
      <c r="C7" s="1">
        <v>286.97199999999998</v>
      </c>
      <c r="F7" s="1" t="s">
        <v>13</v>
      </c>
      <c r="G7" s="1">
        <v>1.1850000000000001</v>
      </c>
      <c r="H7" s="1">
        <v>1.1850000000000001</v>
      </c>
      <c r="I7" s="1">
        <v>1.1850000000000001</v>
      </c>
      <c r="J7" s="1">
        <v>1.1850000000000001</v>
      </c>
      <c r="K7" s="1">
        <v>1.1850000000000001</v>
      </c>
      <c r="L7" s="1">
        <v>1.1850000000000001</v>
      </c>
      <c r="M7" s="1">
        <v>1.1850000000000001</v>
      </c>
      <c r="N7" s="1">
        <v>1.1850000000000001</v>
      </c>
      <c r="O7" s="1">
        <v>1.1850000000000001</v>
      </c>
      <c r="P7" s="1">
        <v>1.1850000000000001</v>
      </c>
      <c r="Q7" s="1">
        <v>1.1850000000000001</v>
      </c>
    </row>
    <row r="8" spans="2:17" x14ac:dyDescent="0.25">
      <c r="B8" s="1" t="s">
        <v>4</v>
      </c>
      <c r="C8" s="1">
        <v>1004.4</v>
      </c>
    </row>
    <row r="10" spans="2:17" x14ac:dyDescent="0.25">
      <c r="B10" s="1" t="s">
        <v>5</v>
      </c>
      <c r="C10" s="1">
        <v>135000</v>
      </c>
      <c r="F10" s="1" t="s">
        <v>14</v>
      </c>
      <c r="G10" s="6">
        <f>G4*G7*G13</f>
        <v>1.3663197670643263</v>
      </c>
      <c r="H10" s="6">
        <f>H4*H7*H13</f>
        <v>1.3663230263056276</v>
      </c>
      <c r="I10" s="6">
        <f t="shared" ref="I10:Q10" si="3">I4*I7*I13</f>
        <v>1.3665061703250156</v>
      </c>
      <c r="J10" s="6">
        <f t="shared" si="3"/>
        <v>1.3667709625642646</v>
      </c>
      <c r="K10" s="6">
        <f t="shared" si="3"/>
        <v>1.3670844463740892</v>
      </c>
      <c r="L10" s="6">
        <f t="shared" si="3"/>
        <v>1.3674102353600908</v>
      </c>
      <c r="M10" s="6">
        <f t="shared" si="3"/>
        <v>1.3677115104077038</v>
      </c>
      <c r="N10" s="6">
        <f t="shared" si="3"/>
        <v>1.3679558661344997</v>
      </c>
      <c r="O10" s="6">
        <f t="shared" si="3"/>
        <v>1.3681219499556712</v>
      </c>
      <c r="P10" s="6">
        <f t="shared" si="3"/>
        <v>1.3682067248782557</v>
      </c>
      <c r="Q10" s="6">
        <f t="shared" si="3"/>
        <v>1.368230019724868</v>
      </c>
    </row>
    <row r="11" spans="2:17" x14ac:dyDescent="0.25">
      <c r="B11" s="1" t="s">
        <v>6</v>
      </c>
      <c r="C11" s="1">
        <v>288.16000000000003</v>
      </c>
      <c r="F11" s="1" t="s">
        <v>15</v>
      </c>
      <c r="G11" s="4">
        <f>(G13)*(G10-H10)</f>
        <v>-1.8690489239403838E-4</v>
      </c>
      <c r="H11" s="4">
        <f t="shared" ref="H11:P11" si="4">(H13)*(H10-I10)</f>
        <v>-1.1637259561789848E-2</v>
      </c>
      <c r="I11" s="4">
        <f t="shared" si="4"/>
        <v>-1.8749238494648671E-2</v>
      </c>
      <c r="J11" s="4">
        <f t="shared" si="4"/>
        <v>-2.4889995107935745E-2</v>
      </c>
      <c r="K11" s="4">
        <f t="shared" si="4"/>
        <v>-2.9208117645821374E-2</v>
      </c>
      <c r="L11" s="4">
        <f t="shared" si="4"/>
        <v>-3.0739108389509131E-2</v>
      </c>
      <c r="M11" s="4">
        <f t="shared" si="4"/>
        <v>-2.8626796225165601E-2</v>
      </c>
      <c r="N11" s="4">
        <f t="shared" si="4"/>
        <v>-2.2569633361576115E-2</v>
      </c>
      <c r="O11" s="4">
        <f t="shared" si="4"/>
        <v>-1.3522018157579229E-2</v>
      </c>
      <c r="P11" s="4">
        <f t="shared" si="4"/>
        <v>-4.422196126273043E-3</v>
      </c>
      <c r="Q11" s="4">
        <v>0</v>
      </c>
    </row>
    <row r="12" spans="2:17" x14ac:dyDescent="0.25">
      <c r="B12" s="1" t="s">
        <v>7</v>
      </c>
      <c r="C12" s="1">
        <v>101325</v>
      </c>
    </row>
    <row r="13" spans="2:17" x14ac:dyDescent="0.25">
      <c r="F13" s="1" t="s">
        <v>12</v>
      </c>
      <c r="G13" s="1">
        <f>(H4*H5*H7)/(G4*G7)</f>
        <v>57.346135224803419</v>
      </c>
      <c r="H13" s="1">
        <f>((G6-H6)/H7+G5*H5)^0.5</f>
        <v>63.541575644546448</v>
      </c>
      <c r="I13" s="1">
        <f t="shared" ref="I13:Q13" si="5">((H6-I6)/I7+H5*I5)^0.5</f>
        <v>70.807356544252258</v>
      </c>
      <c r="J13" s="1">
        <f t="shared" si="5"/>
        <v>79.398024165451432</v>
      </c>
      <c r="K13" s="1">
        <f t="shared" si="5"/>
        <v>89.653484006000923</v>
      </c>
      <c r="L13" s="1">
        <f t="shared" si="5"/>
        <v>102.03005072293041</v>
      </c>
      <c r="M13" s="1">
        <f t="shared" si="5"/>
        <v>117.1521396307309</v>
      </c>
      <c r="N13" s="1">
        <f t="shared" si="5"/>
        <v>135.89302800468184</v>
      </c>
      <c r="O13" s="1">
        <f t="shared" si="5"/>
        <v>159.50493076650253</v>
      </c>
      <c r="P13" s="1">
        <f t="shared" si="5"/>
        <v>189.83581218044736</v>
      </c>
      <c r="Q13" s="1">
        <f t="shared" si="5"/>
        <v>229.70524359275763</v>
      </c>
    </row>
    <row r="14" spans="2:17" x14ac:dyDescent="0.25">
      <c r="B14" s="1" t="s">
        <v>8</v>
      </c>
      <c r="C14" s="1">
        <v>1500</v>
      </c>
      <c r="D14">
        <v>1500</v>
      </c>
      <c r="F14" s="1" t="s">
        <v>7</v>
      </c>
      <c r="G14" s="9">
        <f>C10-(G7*G13^2)/2</f>
        <v>133051.51680905631</v>
      </c>
      <c r="H14" s="9">
        <f>H6+H11</f>
        <v>132584.99723770068</v>
      </c>
      <c r="I14" s="9">
        <f t="shared" ref="I14:Q14" si="6">I6+I11</f>
        <v>131975.3134773034</v>
      </c>
      <c r="J14" s="9">
        <f t="shared" si="6"/>
        <v>131166.99884095028</v>
      </c>
      <c r="K14" s="9">
        <f t="shared" si="6"/>
        <v>130077.40925202964</v>
      </c>
      <c r="L14" s="9">
        <f t="shared" si="6"/>
        <v>128580.95321416699</v>
      </c>
      <c r="M14" s="9">
        <f t="shared" si="6"/>
        <v>126481.56765998769</v>
      </c>
      <c r="N14" s="9">
        <f t="shared" si="6"/>
        <v>123463.61370109109</v>
      </c>
      <c r="O14" s="9">
        <f t="shared" si="6"/>
        <v>119000.61542623199</v>
      </c>
      <c r="P14" s="9">
        <f t="shared" si="6"/>
        <v>112177.499767014</v>
      </c>
      <c r="Q14" s="9">
        <f t="shared" si="6"/>
        <v>101325</v>
      </c>
    </row>
    <row r="15" spans="2:17" x14ac:dyDescent="0.25">
      <c r="F15" s="1" t="s">
        <v>13</v>
      </c>
      <c r="G15" s="1">
        <v>1.1850000000000001</v>
      </c>
      <c r="H15" s="1">
        <v>1.1850000000000001</v>
      </c>
      <c r="I15" s="1">
        <v>1.1850000000000001</v>
      </c>
      <c r="J15" s="1">
        <v>1.1850000000000001</v>
      </c>
      <c r="K15" s="1">
        <v>1.1850000000000001</v>
      </c>
      <c r="L15" s="1">
        <v>1.1850000000000001</v>
      </c>
      <c r="M15" s="1">
        <v>1.1850000000000001</v>
      </c>
      <c r="N15" s="1">
        <v>1.1850000000000001</v>
      </c>
      <c r="O15" s="1">
        <v>1.1850000000000001</v>
      </c>
      <c r="P15" s="1">
        <v>1.1850000000000001</v>
      </c>
      <c r="Q15" s="1">
        <v>1.1850000000000001</v>
      </c>
    </row>
    <row r="17" spans="6:24" x14ac:dyDescent="0.25">
      <c r="F17" s="1" t="s">
        <v>16</v>
      </c>
      <c r="G17" s="7">
        <f>$C$11-(G13^2)/(2*$C$8)</f>
        <v>286.52291356769149</v>
      </c>
      <c r="H17" s="7">
        <f t="shared" ref="H17:Q17" si="7">$C$11-(H13^2)/(2*$C$8)</f>
        <v>286.15007774024713</v>
      </c>
      <c r="I17" s="7">
        <f t="shared" si="7"/>
        <v>285.66414090960535</v>
      </c>
      <c r="J17" s="7">
        <f t="shared" si="7"/>
        <v>285.02178502520036</v>
      </c>
      <c r="K17" s="7">
        <f t="shared" si="7"/>
        <v>284.1587319820718</v>
      </c>
      <c r="L17" s="7">
        <f t="shared" si="7"/>
        <v>282.97773633486474</v>
      </c>
      <c r="M17" s="7">
        <f t="shared" si="7"/>
        <v>281.32774999001481</v>
      </c>
      <c r="N17" s="7">
        <f t="shared" si="7"/>
        <v>278.96699170635145</v>
      </c>
      <c r="O17" s="7">
        <f t="shared" si="7"/>
        <v>275.49481534307711</v>
      </c>
      <c r="P17" s="7">
        <f t="shared" si="7"/>
        <v>270.2201176890631</v>
      </c>
      <c r="Q17" s="7">
        <f t="shared" si="7"/>
        <v>261.89332390780163</v>
      </c>
    </row>
    <row r="18" spans="6:24" x14ac:dyDescent="0.25">
      <c r="F18" s="1" t="s">
        <v>17</v>
      </c>
      <c r="G18" s="8">
        <f>SQRT($C$6*$C$7*G17)</f>
        <v>339.2840623626264</v>
      </c>
      <c r="H18" s="8">
        <f t="shared" ref="H18:Q18" si="8">SQRT($C$6*$C$7*H17)</f>
        <v>339.06324506348938</v>
      </c>
      <c r="I18" s="8">
        <f t="shared" si="8"/>
        <v>338.7752260469407</v>
      </c>
      <c r="J18" s="8">
        <f t="shared" si="8"/>
        <v>338.39411987969368</v>
      </c>
      <c r="K18" s="8">
        <f t="shared" si="8"/>
        <v>337.88139855295782</v>
      </c>
      <c r="L18" s="8">
        <f t="shared" si="8"/>
        <v>337.17853094775222</v>
      </c>
      <c r="M18" s="8">
        <f t="shared" si="8"/>
        <v>336.19408367517167</v>
      </c>
      <c r="N18" s="8">
        <f t="shared" si="8"/>
        <v>334.78052775144664</v>
      </c>
      <c r="O18" s="8">
        <f t="shared" si="8"/>
        <v>332.69057306765836</v>
      </c>
      <c r="P18" s="8">
        <f t="shared" si="8"/>
        <v>329.49028917230947</v>
      </c>
      <c r="Q18" s="8">
        <f t="shared" si="8"/>
        <v>324.3739683264634</v>
      </c>
    </row>
    <row r="19" spans="6:24" x14ac:dyDescent="0.25">
      <c r="F19" s="1" t="s">
        <v>18</v>
      </c>
      <c r="G19" s="5">
        <f>G13/G18</f>
        <v>0.1690210109648827</v>
      </c>
      <c r="H19" s="5">
        <f t="shared" ref="H19:Q19" si="9">H13/H18</f>
        <v>0.18740331359905532</v>
      </c>
      <c r="I19" s="5">
        <f t="shared" si="9"/>
        <v>0.20900984222040248</v>
      </c>
      <c r="J19" s="5">
        <f t="shared" si="9"/>
        <v>0.23463180800446273</v>
      </c>
      <c r="K19" s="5">
        <f t="shared" si="9"/>
        <v>0.26534009978045325</v>
      </c>
      <c r="L19" s="5">
        <f t="shared" si="9"/>
        <v>0.30259948768428724</v>
      </c>
      <c r="M19" s="5">
        <f t="shared" si="9"/>
        <v>0.34846579794046129</v>
      </c>
      <c r="N19" s="5">
        <f t="shared" si="9"/>
        <v>0.40591676259490761</v>
      </c>
      <c r="O19" s="5">
        <f t="shared" si="9"/>
        <v>0.47943928586778578</v>
      </c>
      <c r="P19" s="5">
        <f t="shared" si="9"/>
        <v>0.57614994559421229</v>
      </c>
      <c r="Q19" s="5">
        <f t="shared" si="9"/>
        <v>0.70814943867990277</v>
      </c>
    </row>
    <row r="20" spans="6:24" x14ac:dyDescent="0.25">
      <c r="F20" s="2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6:24" x14ac:dyDescent="0.25">
      <c r="F21" s="2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3"/>
      <c r="T21" s="3"/>
      <c r="U21" s="3"/>
      <c r="V21" s="3"/>
      <c r="W21" s="3"/>
      <c r="X21" s="3"/>
    </row>
    <row r="22" spans="6:24" x14ac:dyDescent="0.25">
      <c r="F22" s="2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3"/>
      <c r="T22" s="3"/>
      <c r="U22" s="3"/>
      <c r="V22" s="3"/>
      <c r="W22" s="3"/>
      <c r="X22" s="3"/>
    </row>
    <row r="23" spans="6:24" x14ac:dyDescent="0.25">
      <c r="F23" s="2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3"/>
      <c r="T23" s="3"/>
      <c r="U23" s="3"/>
      <c r="V23" s="3"/>
      <c r="W23" s="3"/>
      <c r="X23" s="3"/>
    </row>
    <row r="24" spans="6:24" x14ac:dyDescent="0.25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0</xdr:colOff>
                    <xdr:row>15</xdr:row>
                    <xdr:rowOff>133350</xdr:rowOff>
                  </from>
                  <to>
                    <xdr:col>3</xdr:col>
                    <xdr:colOff>361950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2021-05-22T13:32:23Z</dcterms:created>
  <dcterms:modified xsi:type="dcterms:W3CDTF">2021-05-22T14:57:53Z</dcterms:modified>
</cp:coreProperties>
</file>