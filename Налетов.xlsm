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7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trlProps/ctrlProp5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trlProps/ctrlProp6.xml" ContentType="application/vnd.ms-excel.controlproperti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63\Downloads\"/>
    </mc:Choice>
  </mc:AlternateContent>
  <bookViews>
    <workbookView xWindow="0" yWindow="0" windowWidth="15765" windowHeight="7755"/>
  </bookViews>
  <sheets>
    <sheet name="p135(const)" sheetId="1" r:id="rId1"/>
    <sheet name="p135(var)" sheetId="3" r:id="rId2"/>
    <sheet name="p105(const)" sheetId="5" r:id="rId3"/>
    <sheet name="p105(var)" sheetId="4" r:id="rId4"/>
    <sheet name="M1,5(const)" sheetId="6" r:id="rId5"/>
    <sheet name="M1,5(var)" sheetId="7" r:id="rId6"/>
  </sheets>
  <externalReferences>
    <externalReference r:id="rId7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8" i="7" l="1"/>
  <c r="N19" i="7" s="1"/>
  <c r="N21" i="7" s="1"/>
  <c r="P17" i="7"/>
  <c r="P18" i="7" s="1"/>
  <c r="P19" i="7" s="1"/>
  <c r="P21" i="7" s="1"/>
  <c r="N17" i="7"/>
  <c r="L17" i="7"/>
  <c r="L18" i="7" s="1"/>
  <c r="L19" i="7" s="1"/>
  <c r="L21" i="7" s="1"/>
  <c r="H17" i="7"/>
  <c r="H18" i="7" s="1"/>
  <c r="H19" i="7" s="1"/>
  <c r="H21" i="7" s="1"/>
  <c r="Q14" i="7"/>
  <c r="Q13" i="7"/>
  <c r="Q17" i="7" s="1"/>
  <c r="P13" i="7"/>
  <c r="O13" i="7"/>
  <c r="O17" i="7" s="1"/>
  <c r="O18" i="7" s="1"/>
  <c r="N13" i="7"/>
  <c r="M13" i="7"/>
  <c r="L13" i="7"/>
  <c r="K13" i="7"/>
  <c r="K17" i="7" s="1"/>
  <c r="K18" i="7" s="1"/>
  <c r="K19" i="7" s="1"/>
  <c r="K21" i="7" s="1"/>
  <c r="J13" i="7"/>
  <c r="J17" i="7" s="1"/>
  <c r="J18" i="7" s="1"/>
  <c r="I13" i="7"/>
  <c r="I17" i="7" s="1"/>
  <c r="I18" i="7" s="1"/>
  <c r="H13" i="7"/>
  <c r="Q4" i="7"/>
  <c r="Q10" i="7" s="1"/>
  <c r="H4" i="7"/>
  <c r="H10" i="7" s="1"/>
  <c r="G4" i="7"/>
  <c r="H3" i="7"/>
  <c r="I3" i="7" s="1"/>
  <c r="H2" i="7"/>
  <c r="I2" i="7" s="1"/>
  <c r="J2" i="7" s="1"/>
  <c r="K2" i="7" s="1"/>
  <c r="L2" i="7" s="1"/>
  <c r="M2" i="7" s="1"/>
  <c r="N2" i="7" s="1"/>
  <c r="O2" i="7" s="1"/>
  <c r="P2" i="7" s="1"/>
  <c r="Q2" i="7" s="1"/>
  <c r="C4" i="7"/>
  <c r="P17" i="6"/>
  <c r="P18" i="6" s="1"/>
  <c r="J17" i="6"/>
  <c r="J18" i="6" s="1"/>
  <c r="J19" i="6" s="1"/>
  <c r="H17" i="6"/>
  <c r="H18" i="6" s="1"/>
  <c r="Q15" i="6"/>
  <c r="P15" i="6"/>
  <c r="O15" i="6"/>
  <c r="N15" i="6"/>
  <c r="M15" i="6"/>
  <c r="L15" i="6"/>
  <c r="K15" i="6"/>
  <c r="J15" i="6"/>
  <c r="I15" i="6"/>
  <c r="H15" i="6"/>
  <c r="G15" i="6"/>
  <c r="Q14" i="6"/>
  <c r="Q13" i="6"/>
  <c r="P13" i="6"/>
  <c r="P19" i="6" s="1"/>
  <c r="O13" i="6"/>
  <c r="O17" i="6" s="1"/>
  <c r="O18" i="6" s="1"/>
  <c r="N13" i="6"/>
  <c r="N17" i="6" s="1"/>
  <c r="N18" i="6" s="1"/>
  <c r="M13" i="6"/>
  <c r="M17" i="6" s="1"/>
  <c r="M18" i="6" s="1"/>
  <c r="L13" i="6"/>
  <c r="L17" i="6" s="1"/>
  <c r="L18" i="6" s="1"/>
  <c r="L19" i="6" s="1"/>
  <c r="K13" i="6"/>
  <c r="K17" i="6" s="1"/>
  <c r="K18" i="6" s="1"/>
  <c r="J13" i="6"/>
  <c r="I13" i="6"/>
  <c r="H13" i="6"/>
  <c r="Q4" i="6"/>
  <c r="Q10" i="6" s="1"/>
  <c r="H4" i="6"/>
  <c r="G13" i="6" s="1"/>
  <c r="G4" i="6"/>
  <c r="I3" i="6"/>
  <c r="J3" i="6" s="1"/>
  <c r="H3" i="6"/>
  <c r="I2" i="6"/>
  <c r="J2" i="6" s="1"/>
  <c r="K2" i="6" s="1"/>
  <c r="L2" i="6" s="1"/>
  <c r="M2" i="6" s="1"/>
  <c r="N2" i="6" s="1"/>
  <c r="O2" i="6" s="1"/>
  <c r="P2" i="6" s="1"/>
  <c r="Q2" i="6" s="1"/>
  <c r="H2" i="6"/>
  <c r="C4" i="6"/>
  <c r="H18" i="4"/>
  <c r="H19" i="4" s="1"/>
  <c r="H21" i="4" s="1"/>
  <c r="P17" i="4"/>
  <c r="P18" i="4" s="1"/>
  <c r="P19" i="4" s="1"/>
  <c r="P21" i="4" s="1"/>
  <c r="N17" i="4"/>
  <c r="N18" i="4" s="1"/>
  <c r="N19" i="4" s="1"/>
  <c r="N21" i="4" s="1"/>
  <c r="J17" i="4"/>
  <c r="J18" i="4" s="1"/>
  <c r="J19" i="4" s="1"/>
  <c r="J21" i="4" s="1"/>
  <c r="H17" i="4"/>
  <c r="Q14" i="4"/>
  <c r="Q13" i="4"/>
  <c r="Q17" i="4" s="1"/>
  <c r="Q18" i="4" s="1"/>
  <c r="P13" i="4"/>
  <c r="O13" i="4"/>
  <c r="O17" i="4" s="1"/>
  <c r="O18" i="4" s="1"/>
  <c r="N13" i="4"/>
  <c r="M13" i="4"/>
  <c r="L13" i="4"/>
  <c r="K13" i="4"/>
  <c r="K17" i="4" s="1"/>
  <c r="K18" i="4" s="1"/>
  <c r="J13" i="4"/>
  <c r="I13" i="4"/>
  <c r="I17" i="4" s="1"/>
  <c r="I18" i="4" s="1"/>
  <c r="H13" i="4"/>
  <c r="Q4" i="4"/>
  <c r="H4" i="4"/>
  <c r="H10" i="4" s="1"/>
  <c r="G4" i="4"/>
  <c r="H3" i="4"/>
  <c r="I3" i="4" s="1"/>
  <c r="H2" i="4"/>
  <c r="I2" i="4" s="1"/>
  <c r="J2" i="4" s="1"/>
  <c r="K2" i="4" s="1"/>
  <c r="L2" i="4" s="1"/>
  <c r="M2" i="4" s="1"/>
  <c r="N2" i="4" s="1"/>
  <c r="O2" i="4" s="1"/>
  <c r="P2" i="4" s="1"/>
  <c r="Q2" i="4" s="1"/>
  <c r="Q17" i="5"/>
  <c r="Q18" i="5" s="1"/>
  <c r="Q19" i="5" s="1"/>
  <c r="P17" i="5"/>
  <c r="P18" i="5" s="1"/>
  <c r="I17" i="5"/>
  <c r="I18" i="5" s="1"/>
  <c r="I19" i="5" s="1"/>
  <c r="H17" i="5"/>
  <c r="H18" i="5" s="1"/>
  <c r="Q14" i="5"/>
  <c r="Q13" i="5"/>
  <c r="P13" i="5"/>
  <c r="P19" i="5" s="1"/>
  <c r="O13" i="5"/>
  <c r="O17" i="5" s="1"/>
  <c r="O18" i="5" s="1"/>
  <c r="N13" i="5"/>
  <c r="N17" i="5" s="1"/>
  <c r="N18" i="5" s="1"/>
  <c r="M13" i="5"/>
  <c r="M17" i="5" s="1"/>
  <c r="M18" i="5" s="1"/>
  <c r="L13" i="5"/>
  <c r="L17" i="5" s="1"/>
  <c r="L18" i="5" s="1"/>
  <c r="K13" i="5"/>
  <c r="K17" i="5" s="1"/>
  <c r="K18" i="5" s="1"/>
  <c r="K19" i="5" s="1"/>
  <c r="J13" i="5"/>
  <c r="J17" i="5" s="1"/>
  <c r="J18" i="5" s="1"/>
  <c r="J19" i="5" s="1"/>
  <c r="I13" i="5"/>
  <c r="H13" i="5"/>
  <c r="H19" i="5" s="1"/>
  <c r="Q10" i="5"/>
  <c r="Q4" i="5"/>
  <c r="G4" i="5"/>
  <c r="H3" i="5"/>
  <c r="H4" i="5" s="1"/>
  <c r="I2" i="5"/>
  <c r="J2" i="5" s="1"/>
  <c r="K2" i="5" s="1"/>
  <c r="L2" i="5" s="1"/>
  <c r="M2" i="5" s="1"/>
  <c r="N2" i="5" s="1"/>
  <c r="O2" i="5" s="1"/>
  <c r="P2" i="5" s="1"/>
  <c r="Q2" i="5" s="1"/>
  <c r="H2" i="5"/>
  <c r="C4" i="5"/>
  <c r="C4" i="4"/>
  <c r="H2" i="3"/>
  <c r="I2" i="3" s="1"/>
  <c r="J2" i="3" s="1"/>
  <c r="K2" i="3" s="1"/>
  <c r="L2" i="3" s="1"/>
  <c r="M2" i="3" s="1"/>
  <c r="N2" i="3" s="1"/>
  <c r="O2" i="3" s="1"/>
  <c r="P2" i="3" s="1"/>
  <c r="Q2" i="3" s="1"/>
  <c r="H3" i="3"/>
  <c r="I3" i="3" s="1"/>
  <c r="G4" i="3"/>
  <c r="G10" i="3" s="1"/>
  <c r="H4" i="3"/>
  <c r="Q4" i="3"/>
  <c r="Q10" i="3" s="1"/>
  <c r="H10" i="3"/>
  <c r="G13" i="3"/>
  <c r="H13" i="3"/>
  <c r="I13" i="3"/>
  <c r="J13" i="3"/>
  <c r="K13" i="3"/>
  <c r="L13" i="3"/>
  <c r="L17" i="3" s="1"/>
  <c r="L18" i="3" s="1"/>
  <c r="M13" i="3"/>
  <c r="N13" i="3"/>
  <c r="O13" i="3"/>
  <c r="P13" i="3"/>
  <c r="Q13" i="3"/>
  <c r="G14" i="3"/>
  <c r="G15" i="3" s="1"/>
  <c r="Q14" i="3"/>
  <c r="Q15" i="3" s="1"/>
  <c r="G17" i="3"/>
  <c r="G18" i="3" s="1"/>
  <c r="G19" i="3" s="1"/>
  <c r="G21" i="3" s="1"/>
  <c r="H17" i="3"/>
  <c r="I17" i="3"/>
  <c r="I18" i="3" s="1"/>
  <c r="I19" i="3" s="1"/>
  <c r="I21" i="3" s="1"/>
  <c r="I22" i="3" s="1"/>
  <c r="K17" i="3"/>
  <c r="K18" i="3" s="1"/>
  <c r="K19" i="3" s="1"/>
  <c r="K21" i="3" s="1"/>
  <c r="K22" i="3" s="1"/>
  <c r="M17" i="3"/>
  <c r="N17" i="3"/>
  <c r="O17" i="3"/>
  <c r="O18" i="3" s="1"/>
  <c r="O19" i="3" s="1"/>
  <c r="O21" i="3" s="1"/>
  <c r="P17" i="3"/>
  <c r="Q17" i="3"/>
  <c r="Q18" i="3" s="1"/>
  <c r="Q19" i="3" s="1"/>
  <c r="Q21" i="3" s="1"/>
  <c r="Q22" i="3" s="1"/>
  <c r="Q23" i="3" s="1"/>
  <c r="H18" i="3"/>
  <c r="H19" i="3" s="1"/>
  <c r="H21" i="3" s="1"/>
  <c r="M18" i="3"/>
  <c r="N18" i="3"/>
  <c r="N19" i="3" s="1"/>
  <c r="N21" i="3" s="1"/>
  <c r="P18" i="3"/>
  <c r="P19" i="3" s="1"/>
  <c r="P21" i="3" s="1"/>
  <c r="M19" i="3"/>
  <c r="M21" i="3" s="1"/>
  <c r="C4" i="3"/>
  <c r="Q15" i="7" l="1"/>
  <c r="Q18" i="7"/>
  <c r="Q19" i="7" s="1"/>
  <c r="Q21" i="7" s="1"/>
  <c r="K22" i="7"/>
  <c r="K20" i="7"/>
  <c r="H20" i="7"/>
  <c r="H22" i="7"/>
  <c r="I4" i="7"/>
  <c r="I10" i="7" s="1"/>
  <c r="H11" i="7" s="1"/>
  <c r="H14" i="7" s="1"/>
  <c r="J3" i="7"/>
  <c r="L22" i="7"/>
  <c r="L20" i="7"/>
  <c r="M19" i="7"/>
  <c r="M21" i="7" s="1"/>
  <c r="P20" i="7"/>
  <c r="P22" i="7"/>
  <c r="N20" i="7"/>
  <c r="N22" i="7"/>
  <c r="M17" i="7"/>
  <c r="M18" i="7" s="1"/>
  <c r="O19" i="7"/>
  <c r="O21" i="7" s="1"/>
  <c r="G13" i="7"/>
  <c r="I19" i="7"/>
  <c r="I21" i="7" s="1"/>
  <c r="J19" i="7"/>
  <c r="J21" i="7" s="1"/>
  <c r="J4" i="6"/>
  <c r="J10" i="6" s="1"/>
  <c r="K3" i="6"/>
  <c r="G10" i="6"/>
  <c r="G17" i="6"/>
  <c r="G18" i="6" s="1"/>
  <c r="G19" i="6"/>
  <c r="G14" i="6"/>
  <c r="Q19" i="6"/>
  <c r="I19" i="6"/>
  <c r="H19" i="6"/>
  <c r="I4" i="6"/>
  <c r="I10" i="6" s="1"/>
  <c r="I17" i="6"/>
  <c r="I18" i="6" s="1"/>
  <c r="Q17" i="6"/>
  <c r="Q18" i="6" s="1"/>
  <c r="K19" i="6"/>
  <c r="H10" i="6"/>
  <c r="H11" i="6" s="1"/>
  <c r="H14" i="6" s="1"/>
  <c r="M19" i="6"/>
  <c r="N19" i="6"/>
  <c r="O19" i="6"/>
  <c r="I11" i="6"/>
  <c r="I14" i="6" s="1"/>
  <c r="H11" i="4"/>
  <c r="H14" i="4" s="1"/>
  <c r="I4" i="4"/>
  <c r="I10" i="4" s="1"/>
  <c r="J3" i="4"/>
  <c r="J20" i="4"/>
  <c r="J22" i="4"/>
  <c r="H20" i="4"/>
  <c r="H22" i="4"/>
  <c r="N20" i="4"/>
  <c r="N22" i="4"/>
  <c r="P20" i="4"/>
  <c r="P22" i="4"/>
  <c r="Q10" i="4"/>
  <c r="L17" i="4"/>
  <c r="L18" i="4" s="1"/>
  <c r="L19" i="4" s="1"/>
  <c r="L21" i="4" s="1"/>
  <c r="M17" i="4"/>
  <c r="M18" i="4" s="1"/>
  <c r="M19" i="4" s="1"/>
  <c r="M21" i="4" s="1"/>
  <c r="O19" i="4"/>
  <c r="O21" i="4" s="1"/>
  <c r="G13" i="4"/>
  <c r="Q15" i="4"/>
  <c r="I19" i="4"/>
  <c r="I21" i="4" s="1"/>
  <c r="Q19" i="4"/>
  <c r="Q21" i="4" s="1"/>
  <c r="K19" i="4"/>
  <c r="K21" i="4" s="1"/>
  <c r="H10" i="5"/>
  <c r="G13" i="5"/>
  <c r="I3" i="5"/>
  <c r="L19" i="5"/>
  <c r="M19" i="5"/>
  <c r="N19" i="5"/>
  <c r="O19" i="5"/>
  <c r="N20" i="3"/>
  <c r="N22" i="3"/>
  <c r="G20" i="3"/>
  <c r="G22" i="3"/>
  <c r="G23" i="3" s="1"/>
  <c r="P20" i="3"/>
  <c r="P22" i="3"/>
  <c r="H20" i="3"/>
  <c r="H22" i="3"/>
  <c r="J3" i="3"/>
  <c r="I4" i="3"/>
  <c r="I10" i="3" s="1"/>
  <c r="H11" i="3" s="1"/>
  <c r="H14" i="3" s="1"/>
  <c r="H15" i="3" s="1"/>
  <c r="O20" i="3"/>
  <c r="O22" i="3"/>
  <c r="M22" i="3"/>
  <c r="M20" i="3"/>
  <c r="L19" i="3"/>
  <c r="L21" i="3" s="1"/>
  <c r="J17" i="3"/>
  <c r="J18" i="3" s="1"/>
  <c r="J19" i="3" s="1"/>
  <c r="J21" i="3" s="1"/>
  <c r="J22" i="3" s="1"/>
  <c r="K20" i="3"/>
  <c r="J20" i="3"/>
  <c r="Q20" i="3"/>
  <c r="I20" i="3"/>
  <c r="Q14" i="1"/>
  <c r="G4" i="1"/>
  <c r="G13" i="1"/>
  <c r="J13" i="1"/>
  <c r="P13" i="1"/>
  <c r="H13" i="1"/>
  <c r="N13" i="1"/>
  <c r="O13" i="1"/>
  <c r="Q13" i="1"/>
  <c r="H4" i="1"/>
  <c r="Q4" i="1"/>
  <c r="I3" i="1"/>
  <c r="J3" i="1" s="1"/>
  <c r="K3" i="1" s="1"/>
  <c r="L3" i="1" s="1"/>
  <c r="M3" i="1" s="1"/>
  <c r="N3" i="1" s="1"/>
  <c r="O3" i="1" s="1"/>
  <c r="P3" i="1" s="1"/>
  <c r="P4" i="1" s="1"/>
  <c r="H3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H23" i="7" l="1"/>
  <c r="H15" i="7"/>
  <c r="Q20" i="7"/>
  <c r="Q22" i="7"/>
  <c r="Q23" i="7" s="1"/>
  <c r="O20" i="7"/>
  <c r="O22" i="7"/>
  <c r="I20" i="7"/>
  <c r="I22" i="7"/>
  <c r="G10" i="7"/>
  <c r="G14" i="7"/>
  <c r="G17" i="7"/>
  <c r="G18" i="7" s="1"/>
  <c r="G19" i="7"/>
  <c r="G21" i="7" s="1"/>
  <c r="M20" i="7"/>
  <c r="M22" i="7"/>
  <c r="J20" i="7"/>
  <c r="J22" i="7"/>
  <c r="J4" i="7"/>
  <c r="J10" i="7" s="1"/>
  <c r="I11" i="7" s="1"/>
  <c r="I14" i="7" s="1"/>
  <c r="K3" i="7"/>
  <c r="K4" i="6"/>
  <c r="K10" i="6" s="1"/>
  <c r="L3" i="6"/>
  <c r="J11" i="6"/>
  <c r="J14" i="6" s="1"/>
  <c r="M20" i="4"/>
  <c r="M22" i="4"/>
  <c r="L22" i="4"/>
  <c r="L20" i="4"/>
  <c r="Q20" i="4"/>
  <c r="Q22" i="4"/>
  <c r="Q23" i="4" s="1"/>
  <c r="I20" i="4"/>
  <c r="I22" i="4"/>
  <c r="H23" i="4"/>
  <c r="H15" i="4"/>
  <c r="G10" i="4"/>
  <c r="G14" i="4"/>
  <c r="G17" i="4"/>
  <c r="G18" i="4" s="1"/>
  <c r="G19" i="4" s="1"/>
  <c r="G21" i="4" s="1"/>
  <c r="K3" i="4"/>
  <c r="J4" i="4"/>
  <c r="J10" i="4" s="1"/>
  <c r="K22" i="4"/>
  <c r="K20" i="4"/>
  <c r="O20" i="4"/>
  <c r="O22" i="4"/>
  <c r="I4" i="5"/>
  <c r="I10" i="5" s="1"/>
  <c r="J3" i="5"/>
  <c r="G17" i="5"/>
  <c r="G18" i="5" s="1"/>
  <c r="G19" i="5" s="1"/>
  <c r="G10" i="5"/>
  <c r="G14" i="5"/>
  <c r="K3" i="3"/>
  <c r="J4" i="3"/>
  <c r="J10" i="3" s="1"/>
  <c r="H23" i="3"/>
  <c r="L20" i="3"/>
  <c r="L22" i="3"/>
  <c r="P10" i="1"/>
  <c r="H10" i="1"/>
  <c r="G10" i="1"/>
  <c r="Q17" i="1"/>
  <c r="Q18" i="1" s="1"/>
  <c r="Q19" i="1" s="1"/>
  <c r="O17" i="1"/>
  <c r="O18" i="1" s="1"/>
  <c r="O19" i="1" s="1"/>
  <c r="N17" i="1"/>
  <c r="N18" i="1" s="1"/>
  <c r="N19" i="1" s="1"/>
  <c r="Q10" i="1"/>
  <c r="I4" i="1"/>
  <c r="G14" i="1"/>
  <c r="J17" i="1"/>
  <c r="J18" i="1" s="1"/>
  <c r="J19" i="1" s="1"/>
  <c r="M13" i="1"/>
  <c r="P17" i="1"/>
  <c r="P18" i="1" s="1"/>
  <c r="P19" i="1" s="1"/>
  <c r="H17" i="1"/>
  <c r="H18" i="1" s="1"/>
  <c r="H19" i="1" s="1"/>
  <c r="N4" i="1"/>
  <c r="N10" i="1" s="1"/>
  <c r="L13" i="1"/>
  <c r="G17" i="1"/>
  <c r="G18" i="1" s="1"/>
  <c r="G19" i="1" s="1"/>
  <c r="O4" i="1"/>
  <c r="O10" i="1" s="1"/>
  <c r="O11" i="1" s="1"/>
  <c r="O14" i="1" s="1"/>
  <c r="M4" i="1"/>
  <c r="K13" i="1"/>
  <c r="J4" i="1"/>
  <c r="J10" i="1" s="1"/>
  <c r="L4" i="1"/>
  <c r="K4" i="1"/>
  <c r="I13" i="1"/>
  <c r="I23" i="7" l="1"/>
  <c r="I15" i="7"/>
  <c r="K4" i="7"/>
  <c r="K10" i="7" s="1"/>
  <c r="L3" i="7"/>
  <c r="G20" i="7"/>
  <c r="G22" i="7"/>
  <c r="G23" i="7" s="1"/>
  <c r="J11" i="7"/>
  <c r="J14" i="7" s="1"/>
  <c r="G15" i="7"/>
  <c r="L4" i="6"/>
  <c r="L10" i="6" s="1"/>
  <c r="M3" i="6"/>
  <c r="K11" i="6"/>
  <c r="K14" i="6" s="1"/>
  <c r="G20" i="4"/>
  <c r="G22" i="4"/>
  <c r="I11" i="4"/>
  <c r="I14" i="4" s="1"/>
  <c r="L3" i="4"/>
  <c r="K4" i="4"/>
  <c r="K10" i="4" s="1"/>
  <c r="J11" i="4" s="1"/>
  <c r="J14" i="4" s="1"/>
  <c r="G23" i="4"/>
  <c r="G15" i="4"/>
  <c r="J4" i="5"/>
  <c r="J10" i="5" s="1"/>
  <c r="I11" i="5" s="1"/>
  <c r="I14" i="5" s="1"/>
  <c r="K3" i="5"/>
  <c r="H11" i="5"/>
  <c r="H14" i="5" s="1"/>
  <c r="K4" i="3"/>
  <c r="K10" i="3" s="1"/>
  <c r="L3" i="3"/>
  <c r="I11" i="3"/>
  <c r="I14" i="3" s="1"/>
  <c r="G11" i="1"/>
  <c r="P11" i="1"/>
  <c r="P14" i="1" s="1"/>
  <c r="L10" i="1"/>
  <c r="I10" i="1"/>
  <c r="H11" i="1" s="1"/>
  <c r="H14" i="1" s="1"/>
  <c r="M10" i="1"/>
  <c r="M11" i="1" s="1"/>
  <c r="M14" i="1" s="1"/>
  <c r="N11" i="1"/>
  <c r="N14" i="1" s="1"/>
  <c r="K17" i="1"/>
  <c r="K18" i="1" s="1"/>
  <c r="K19" i="1" s="1"/>
  <c r="M17" i="1"/>
  <c r="M18" i="1" s="1"/>
  <c r="M19" i="1" s="1"/>
  <c r="I17" i="1"/>
  <c r="I18" i="1" s="1"/>
  <c r="I19" i="1" s="1"/>
  <c r="K10" i="1"/>
  <c r="L17" i="1"/>
  <c r="L18" i="1" s="1"/>
  <c r="L19" i="1" s="1"/>
  <c r="J15" i="7" l="1"/>
  <c r="J23" i="7"/>
  <c r="M3" i="7"/>
  <c r="L4" i="7"/>
  <c r="L10" i="7" s="1"/>
  <c r="M4" i="6"/>
  <c r="M10" i="6" s="1"/>
  <c r="N3" i="6"/>
  <c r="L11" i="6"/>
  <c r="L14" i="6" s="1"/>
  <c r="J15" i="4"/>
  <c r="J23" i="4"/>
  <c r="I23" i="4"/>
  <c r="I15" i="4"/>
  <c r="M3" i="4"/>
  <c r="L4" i="4"/>
  <c r="L10" i="4" s="1"/>
  <c r="K11" i="4" s="1"/>
  <c r="K14" i="4" s="1"/>
  <c r="K4" i="5"/>
  <c r="K10" i="5" s="1"/>
  <c r="L3" i="5"/>
  <c r="J11" i="5"/>
  <c r="J14" i="5" s="1"/>
  <c r="I15" i="3"/>
  <c r="I23" i="3"/>
  <c r="L4" i="3"/>
  <c r="L10" i="3" s="1"/>
  <c r="M3" i="3"/>
  <c r="K11" i="3"/>
  <c r="K14" i="3" s="1"/>
  <c r="J11" i="3"/>
  <c r="J14" i="3" s="1"/>
  <c r="K11" i="1"/>
  <c r="K14" i="1" s="1"/>
  <c r="J11" i="1"/>
  <c r="J14" i="1" s="1"/>
  <c r="L11" i="1"/>
  <c r="L14" i="1" s="1"/>
  <c r="I11" i="1"/>
  <c r="I14" i="1" s="1"/>
  <c r="K11" i="7" l="1"/>
  <c r="K14" i="7" s="1"/>
  <c r="N3" i="7"/>
  <c r="M4" i="7"/>
  <c r="M10" i="7" s="1"/>
  <c r="N4" i="6"/>
  <c r="N10" i="6" s="1"/>
  <c r="O3" i="6"/>
  <c r="M11" i="6"/>
  <c r="M14" i="6" s="1"/>
  <c r="K15" i="4"/>
  <c r="K23" i="4"/>
  <c r="M4" i="4"/>
  <c r="M10" i="4" s="1"/>
  <c r="N3" i="4"/>
  <c r="L4" i="5"/>
  <c r="L10" i="5" s="1"/>
  <c r="M3" i="5"/>
  <c r="K11" i="5"/>
  <c r="K14" i="5" s="1"/>
  <c r="N3" i="3"/>
  <c r="M4" i="3"/>
  <c r="M10" i="3" s="1"/>
  <c r="K15" i="3"/>
  <c r="K23" i="3"/>
  <c r="J15" i="3"/>
  <c r="J23" i="3"/>
  <c r="L11" i="3"/>
  <c r="L14" i="3" s="1"/>
  <c r="N4" i="7" l="1"/>
  <c r="N10" i="7" s="1"/>
  <c r="O3" i="7"/>
  <c r="K15" i="7"/>
  <c r="K23" i="7"/>
  <c r="L11" i="7"/>
  <c r="L14" i="7" s="1"/>
  <c r="O4" i="6"/>
  <c r="O10" i="6" s="1"/>
  <c r="P3" i="6"/>
  <c r="P4" i="6" s="1"/>
  <c r="P10" i="6" s="1"/>
  <c r="P11" i="6" s="1"/>
  <c r="P14" i="6" s="1"/>
  <c r="N11" i="6"/>
  <c r="N14" i="6" s="1"/>
  <c r="N4" i="4"/>
  <c r="N10" i="4" s="1"/>
  <c r="M11" i="4" s="1"/>
  <c r="M14" i="4" s="1"/>
  <c r="O3" i="4"/>
  <c r="L11" i="4"/>
  <c r="L14" i="4" s="1"/>
  <c r="N3" i="5"/>
  <c r="M4" i="5"/>
  <c r="M10" i="5" s="1"/>
  <c r="L11" i="5" s="1"/>
  <c r="L14" i="5" s="1"/>
  <c r="L23" i="3"/>
  <c r="L15" i="3"/>
  <c r="M11" i="3"/>
  <c r="M14" i="3" s="1"/>
  <c r="O3" i="3"/>
  <c r="N4" i="3"/>
  <c r="N10" i="3" s="1"/>
  <c r="L15" i="7" l="1"/>
  <c r="L23" i="7"/>
  <c r="O4" i="7"/>
  <c r="O10" i="7" s="1"/>
  <c r="P3" i="7"/>
  <c r="P4" i="7" s="1"/>
  <c r="P10" i="7" s="1"/>
  <c r="P11" i="7" s="1"/>
  <c r="P14" i="7" s="1"/>
  <c r="N11" i="7"/>
  <c r="N14" i="7" s="1"/>
  <c r="M11" i="7"/>
  <c r="M14" i="7" s="1"/>
  <c r="O11" i="6"/>
  <c r="O14" i="6" s="1"/>
  <c r="M15" i="4"/>
  <c r="M23" i="4"/>
  <c r="L15" i="4"/>
  <c r="L23" i="4"/>
  <c r="O4" i="4"/>
  <c r="O10" i="4" s="1"/>
  <c r="O11" i="4" s="1"/>
  <c r="O14" i="4" s="1"/>
  <c r="P3" i="4"/>
  <c r="P4" i="4" s="1"/>
  <c r="P10" i="4" s="1"/>
  <c r="P11" i="4" s="1"/>
  <c r="P14" i="4" s="1"/>
  <c r="O3" i="5"/>
  <c r="N4" i="5"/>
  <c r="N10" i="5" s="1"/>
  <c r="M11" i="5" s="1"/>
  <c r="M14" i="5" s="1"/>
  <c r="P3" i="3"/>
  <c r="P4" i="3" s="1"/>
  <c r="P10" i="3" s="1"/>
  <c r="P11" i="3" s="1"/>
  <c r="P14" i="3" s="1"/>
  <c r="O4" i="3"/>
  <c r="O10" i="3" s="1"/>
  <c r="O11" i="3" s="1"/>
  <c r="O14" i="3" s="1"/>
  <c r="M23" i="3"/>
  <c r="M15" i="3"/>
  <c r="N15" i="7" l="1"/>
  <c r="N23" i="7"/>
  <c r="M15" i="7"/>
  <c r="M23" i="7"/>
  <c r="P23" i="7"/>
  <c r="P15" i="7"/>
  <c r="O11" i="7"/>
  <c r="O14" i="7" s="1"/>
  <c r="N11" i="4"/>
  <c r="N14" i="4" s="1"/>
  <c r="P23" i="4"/>
  <c r="P15" i="4"/>
  <c r="O23" i="4"/>
  <c r="O15" i="4"/>
  <c r="P3" i="5"/>
  <c r="P4" i="5" s="1"/>
  <c r="P10" i="5" s="1"/>
  <c r="P11" i="5" s="1"/>
  <c r="P14" i="5" s="1"/>
  <c r="O4" i="5"/>
  <c r="O10" i="5" s="1"/>
  <c r="N11" i="5" s="1"/>
  <c r="N14" i="5" s="1"/>
  <c r="N11" i="3"/>
  <c r="N14" i="3" s="1"/>
  <c r="O15" i="3"/>
  <c r="O23" i="3"/>
  <c r="P15" i="3"/>
  <c r="P23" i="3"/>
  <c r="O23" i="7" l="1"/>
  <c r="O15" i="7"/>
  <c r="N15" i="4"/>
  <c r="N23" i="4"/>
  <c r="O11" i="5"/>
  <c r="O14" i="5" s="1"/>
  <c r="N15" i="3"/>
  <c r="N23" i="3"/>
</calcChain>
</file>

<file path=xl/sharedStrings.xml><?xml version="1.0" encoding="utf-8"?>
<sst xmlns="http://schemas.openxmlformats.org/spreadsheetml/2006/main" count="165" uniqueCount="25">
  <si>
    <t>L</t>
  </si>
  <si>
    <t>dx</t>
  </si>
  <si>
    <t>k</t>
  </si>
  <si>
    <t>R</t>
  </si>
  <si>
    <t>Cp</t>
  </si>
  <si>
    <t>p*</t>
  </si>
  <si>
    <t>T*</t>
  </si>
  <si>
    <t>p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</si>
  <si>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</si>
  <si>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</si>
  <si>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</si>
  <si>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</si>
  <si>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</si>
  <si>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</si>
  <si>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</si>
  <si>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</si>
  <si>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</si>
  <si>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</si>
  <si>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</si>
  <si>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Tau_lam</t>
  </si>
  <si>
    <t>lamda</t>
  </si>
  <si>
    <t>Pi_lamda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</si>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</sst>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"/>
    <numFmt numFmtId="166" formatCode="0.000"/>
    <numFmt numFmtId="167" formatCode="0.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0" xfId="0" applyFill="1" applyBorder="1"/>
    <xf numFmtId="0" fontId="0" fillId="0" borderId="0" xfId="0" applyBorder="1"/>
    <xf numFmtId="164" fontId="0" fillId="0" borderId="1" xfId="0" applyNumberFormat="1" applyBorder="1"/>
    <xf numFmtId="165" fontId="0" fillId="0" borderId="1" xfId="0" applyNumberFormat="1" applyBorder="1"/>
    <xf numFmtId="166" fontId="0" fillId="0" borderId="1" xfId="0" applyNumberFormat="1" applyBorder="1"/>
    <xf numFmtId="2" fontId="0" fillId="0" borderId="1" xfId="0" applyNumberFormat="1" applyBorder="1"/>
    <xf numFmtId="167" fontId="0" fillId="0" borderId="1" xfId="0" applyNumberFormat="1" applyBorder="1"/>
    <xf numFmtId="1" fontId="0" fillId="0" borderId="1" xfId="0" applyNumberFormat="1" applyBorder="1"/>
    <xf numFmtId="166" fontId="0" fillId="2" borderId="1" xfId="0" applyNumberFormat="1" applyFill="1" applyBorder="1"/>
    <xf numFmtId="0" fontId="0" fillId="2" borderId="1" xfId="0" applyFill="1" applyBorder="1"/>
    <xf numFmtId="165" fontId="0" fillId="2" borderId="1" xfId="0" applyNumberFormat="1" applyFill="1" applyBorder="1"/>
    <xf numFmtId="2" fontId="0" fillId="2" borderId="1" xfId="0" applyNumberFormat="1" applyFill="1" applyBorder="1"/>
    <xf numFmtId="1" fontId="0" fillId="2" borderId="1" xfId="0" applyNumberFormat="1" applyFill="1" applyBorder="1"/>
    <xf numFmtId="167" fontId="0" fillId="2" borderId="1" xfId="0" applyNumberFormat="1" applyFill="1" applyBorder="1"/>
    <xf numFmtId="0" fontId="0" fillId="2" borderId="0" xfId="0" applyFill="1"/>
    <xf numFmtId="0" fontId="0" fillId="2" borderId="1" xfId="0" applyNumberFormat="1" applyFill="1" applyBorder="1"/>
    <xf numFmtId="0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48E-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1332461252146826E-2"/>
          <c:y val="0.17171296296296296"/>
          <c:w val="0.8050236787522608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'p135(const)'!$F$3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'p135(const)'!$G$2:$Q$2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'p135(const)'!$G$3:$Q$3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0318048"/>
        <c:axId val="1780311520"/>
      </c:lineChart>
      <c:catAx>
        <c:axId val="178031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0311520"/>
        <c:crosses val="autoZero"/>
        <c:auto val="1"/>
        <c:lblAlgn val="ctr"/>
        <c:lblOffset val="100"/>
        <c:noMultiLvlLbl val="0"/>
      </c:catAx>
      <c:valAx>
        <c:axId val="178031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031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597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8150481189851271E-2"/>
          <c:y val="0.17171296296296296"/>
          <c:w val="0.71851618547681539"/>
          <c:h val="0.72088764946048411"/>
        </c:manualLayout>
      </c:layout>
      <c:lineChart>
        <c:grouping val="standard"/>
        <c:varyColors val="0"/>
        <c:ser>
          <c:idx val="1"/>
          <c:order val="0"/>
          <c:tx>
            <c:strRef>
              <c:f>'p135(const)'!$F$10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'p135(const)'!$G$2:$Q$2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'p135(const)'!$G$10:$Q$10</c:f>
              <c:numCache>
                <c:formatCode>0.000</c:formatCode>
                <c:ptCount val="11"/>
                <c:pt idx="0">
                  <c:v>1.3663197670643263</c:v>
                </c:pt>
                <c:pt idx="1">
                  <c:v>1.3663230263056276</c:v>
                </c:pt>
                <c:pt idx="2">
                  <c:v>1.3665061703250156</c:v>
                </c:pt>
                <c:pt idx="3">
                  <c:v>1.3667709625642646</c:v>
                </c:pt>
                <c:pt idx="4">
                  <c:v>1.3670844463740892</c:v>
                </c:pt>
                <c:pt idx="5">
                  <c:v>1.3674102353600908</c:v>
                </c:pt>
                <c:pt idx="6">
                  <c:v>1.3677115104077038</c:v>
                </c:pt>
                <c:pt idx="7">
                  <c:v>1.3679558661344997</c:v>
                </c:pt>
                <c:pt idx="8">
                  <c:v>1.3681219499556712</c:v>
                </c:pt>
                <c:pt idx="9">
                  <c:v>1.3682067248782557</c:v>
                </c:pt>
                <c:pt idx="10">
                  <c:v>1.368230019724868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'p135(const)'!$F$10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'p135(const)'!$G$2:$Q$2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'p135(const)'!$G$10:$Q$10</c:f>
              <c:numCache>
                <c:formatCode>0.000</c:formatCode>
                <c:ptCount val="11"/>
                <c:pt idx="0">
                  <c:v>1.3663197670643263</c:v>
                </c:pt>
                <c:pt idx="1">
                  <c:v>1.3663230263056276</c:v>
                </c:pt>
                <c:pt idx="2">
                  <c:v>1.3665061703250156</c:v>
                </c:pt>
                <c:pt idx="3">
                  <c:v>1.3667709625642646</c:v>
                </c:pt>
                <c:pt idx="4">
                  <c:v>1.3670844463740892</c:v>
                </c:pt>
                <c:pt idx="5">
                  <c:v>1.3674102353600908</c:v>
                </c:pt>
                <c:pt idx="6">
                  <c:v>1.3677115104077038</c:v>
                </c:pt>
                <c:pt idx="7">
                  <c:v>1.3679558661344997</c:v>
                </c:pt>
                <c:pt idx="8">
                  <c:v>1.3681219499556712</c:v>
                </c:pt>
                <c:pt idx="9">
                  <c:v>1.3682067248782557</c:v>
                </c:pt>
                <c:pt idx="10">
                  <c:v>1.368230019724868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0312064"/>
        <c:axId val="1722505104"/>
      </c:lineChart>
      <c:catAx>
        <c:axId val="178031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2505104"/>
        <c:crosses val="autoZero"/>
        <c:auto val="1"/>
        <c:lblAlgn val="ctr"/>
        <c:lblOffset val="100"/>
        <c:noMultiLvlLbl val="0"/>
      </c:catAx>
      <c:valAx>
        <c:axId val="172250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031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P, [Pa]</a:t>
            </a:r>
            <a:endParaRPr lang="ru-RU" sz="1100">
              <a:effectLst/>
            </a:endParaRPr>
          </a:p>
        </c:rich>
      </c:tx>
      <c:layout>
        <c:manualLayout>
          <c:xMode val="edge"/>
          <c:yMode val="edge"/>
          <c:x val="2.5431788772957748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8660588085217618E-2"/>
          <c:y val="0.15782407407407409"/>
          <c:w val="0.7713339274674833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dk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'p135(const)'!$G$2:$Q$2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'p135(const)'!$G$6:$Q$6</c:f>
              <c:numCache>
                <c:formatCode>General</c:formatCode>
                <c:ptCount val="11"/>
                <c:pt idx="0">
                  <c:v>133051.52605921644</c:v>
                </c:pt>
                <c:pt idx="1">
                  <c:v>132585.00887496024</c:v>
                </c:pt>
                <c:pt idx="2">
                  <c:v>131975.33222654188</c:v>
                </c:pt>
                <c:pt idx="3">
                  <c:v>131167.0237309454</c:v>
                </c:pt>
                <c:pt idx="4">
                  <c:v>130077.43846014728</c:v>
                </c:pt>
                <c:pt idx="5">
                  <c:v>128580.98395327538</c:v>
                </c:pt>
                <c:pt idx="6">
                  <c:v>126481.59628678391</c:v>
                </c:pt>
                <c:pt idx="7">
                  <c:v>123463.63627072446</c:v>
                </c:pt>
                <c:pt idx="8">
                  <c:v>119000.62894825015</c:v>
                </c:pt>
                <c:pt idx="9">
                  <c:v>112177.50418921013</c:v>
                </c:pt>
                <c:pt idx="10">
                  <c:v>101325</c:v>
                </c:pt>
              </c:numCache>
            </c:numRef>
          </c:yVal>
          <c:smooth val="0"/>
        </c:ser>
        <c:ser>
          <c:idx val="1"/>
          <c:order val="1"/>
          <c:tx>
            <c:v>3D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'p135(const)'!$T$4:$X$4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'p135(const)'!$T$6:$X$6</c:f>
              <c:numCache>
                <c:formatCode>0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362800"/>
        <c:axId val="2046354640"/>
      </c:scatterChart>
      <c:valAx>
        <c:axId val="204636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46354640"/>
        <c:crosses val="autoZero"/>
        <c:crossBetween val="midCat"/>
      </c:valAx>
      <c:valAx>
        <c:axId val="2046354640"/>
        <c:scaling>
          <c:orientation val="minMax"/>
          <c:min val="9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dk1"/>
            </a:solidFill>
          </a:ln>
          <a:effectLst>
            <a:glow>
              <a:schemeClr val="accent1"/>
            </a:glow>
            <a:softEdge rad="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4636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 [m/s] </a:t>
            </a:r>
          </a:p>
        </c:rich>
      </c:tx>
      <c:layout>
        <c:manualLayout>
          <c:xMode val="edge"/>
          <c:yMode val="edge"/>
          <c:x val="9.2050209205024396E-4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9579173942169359E-2"/>
          <c:y val="0.17171296296296296"/>
          <c:w val="0.7810553597118350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dk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'p135(const)'!$G$2:$Q$2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'p135(const)'!$G$13:$Q$13</c:f>
              <c:numCache>
                <c:formatCode>General</c:formatCode>
                <c:ptCount val="11"/>
                <c:pt idx="0">
                  <c:v>57.346135224803419</c:v>
                </c:pt>
                <c:pt idx="1">
                  <c:v>63.541575644546448</c:v>
                </c:pt>
                <c:pt idx="2">
                  <c:v>70.807356544252258</c:v>
                </c:pt>
                <c:pt idx="3">
                  <c:v>79.398024165451432</c:v>
                </c:pt>
                <c:pt idx="4">
                  <c:v>89.653484006000923</c:v>
                </c:pt>
                <c:pt idx="5">
                  <c:v>102.03005072293041</c:v>
                </c:pt>
                <c:pt idx="6">
                  <c:v>117.1521396307309</c:v>
                </c:pt>
                <c:pt idx="7">
                  <c:v>135.89302800468184</c:v>
                </c:pt>
                <c:pt idx="8">
                  <c:v>159.50493076650253</c:v>
                </c:pt>
                <c:pt idx="9">
                  <c:v>189.83581218044736</c:v>
                </c:pt>
                <c:pt idx="10">
                  <c:v>229.70524359275763</c:v>
                </c:pt>
              </c:numCache>
            </c:numRef>
          </c:yVal>
          <c:smooth val="0"/>
        </c:ser>
        <c:ser>
          <c:idx val="1"/>
          <c:order val="1"/>
          <c:tx>
            <c:v>3d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'p135(const)'!$T$4:$X$4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'p135(const)'!$T$5:$X$5</c:f>
              <c:numCache>
                <c:formatCode>0.00</c:formatCode>
                <c:ptCount val="5"/>
                <c:pt idx="0" formatCode="General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4278864"/>
        <c:axId val="1984277776"/>
      </c:scatterChart>
      <c:valAx>
        <c:axId val="198427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277776"/>
        <c:crosses val="autoZero"/>
        <c:crossBetween val="midCat"/>
      </c:valAx>
      <c:valAx>
        <c:axId val="198427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27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48E-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1332461252146826E-2"/>
          <c:y val="0.17171296296296296"/>
          <c:w val="0.8050236787522608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'p135(var)'!$F$3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'p135(var)'!$G$2:$Q$2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'p135(var)'!$G$3:$Q$3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544720"/>
        <c:axId val="1882549616"/>
      </c:lineChart>
      <c:catAx>
        <c:axId val="1882544720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2549616"/>
        <c:crosses val="autoZero"/>
        <c:auto val="1"/>
        <c:lblAlgn val="ctr"/>
        <c:lblOffset val="100"/>
        <c:noMultiLvlLbl val="0"/>
      </c:catAx>
      <c:valAx>
        <c:axId val="188254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254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597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8150481189851271E-2"/>
          <c:y val="0.17171296296296296"/>
          <c:w val="0.71851618547681539"/>
          <c:h val="0.72088764946048411"/>
        </c:manualLayout>
      </c:layout>
      <c:lineChart>
        <c:grouping val="standard"/>
        <c:varyColors val="0"/>
        <c:ser>
          <c:idx val="1"/>
          <c:order val="0"/>
          <c:tx>
            <c:strRef>
              <c:f>'p135(var)'!$F$10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'p135(var)'!$G$2:$Q$2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'p135(var)'!$G$10:$Q$10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'p135(var)'!$F$10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'p135(var)'!$G$2:$Q$2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'p135(var)'!$G$10:$Q$10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548528"/>
        <c:axId val="1882545264"/>
      </c:lineChart>
      <c:catAx>
        <c:axId val="1882548528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2545264"/>
        <c:crosses val="autoZero"/>
        <c:auto val="1"/>
        <c:lblAlgn val="ctr"/>
        <c:lblOffset val="100"/>
        <c:noMultiLvlLbl val="0"/>
      </c:catAx>
      <c:valAx>
        <c:axId val="188254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254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3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407238429365406"/>
          <c:y val="0.19486111111111112"/>
          <c:w val="0.70184673738412251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'p135(var)'!$G$2:$Q$2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'p135(var)'!$G$6:$Q$6</c:f>
              <c:numCache>
                <c:formatCode>General</c:formatCode>
                <c:ptCount val="11"/>
                <c:pt idx="0">
                  <c:v>133574.20645422692</c:v>
                </c:pt>
                <c:pt idx="1">
                  <c:v>133226.28716879166</c:v>
                </c:pt>
                <c:pt idx="2">
                  <c:v>132771.1614403399</c:v>
                </c:pt>
                <c:pt idx="3">
                  <c:v>132161.66801093385</c:v>
                </c:pt>
                <c:pt idx="4">
                  <c:v>131328.88571868328</c:v>
                </c:pt>
                <c:pt idx="5">
                  <c:v>130163.60851596277</c:v>
                </c:pt>
                <c:pt idx="6">
                  <c:v>128484.90473201471</c:v>
                </c:pt>
                <c:pt idx="7">
                  <c:v>125974.38540805619</c:v>
                </c:pt>
                <c:pt idx="8">
                  <c:v>122019.7344116298</c:v>
                </c:pt>
                <c:pt idx="9">
                  <c:v>115251.08218729163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542000"/>
        <c:axId val="1882551792"/>
      </c:lineChart>
      <c:catAx>
        <c:axId val="1882542000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2551792"/>
        <c:crosses val="autoZero"/>
        <c:auto val="1"/>
        <c:lblAlgn val="ctr"/>
        <c:lblOffset val="100"/>
        <c:noMultiLvlLbl val="0"/>
      </c:catAx>
      <c:valAx>
        <c:axId val="188255179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2542000"/>
        <c:crosses val="autoZero"/>
        <c:crossBetween val="between"/>
      </c:valAx>
      <c:spPr>
        <a:noFill/>
        <a:ln>
          <a:solidFill>
            <a:schemeClr val="dk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873E-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493775899152129"/>
          <c:y val="0.19486111111111112"/>
          <c:w val="0.74507174103237095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'p135(var)'!$G$2:$Q$2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'p135(var)'!$G$13:$Q$13</c:f>
              <c:numCache>
                <c:formatCode>0.00</c:formatCode>
                <c:ptCount val="11"/>
                <c:pt idx="0" formatCode="General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543632"/>
        <c:axId val="1882543088"/>
      </c:lineChart>
      <c:catAx>
        <c:axId val="1882543632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2543088"/>
        <c:crosses val="autoZero"/>
        <c:auto val="1"/>
        <c:lblAlgn val="ctr"/>
        <c:lblOffset val="100"/>
        <c:noMultiLvlLbl val="0"/>
      </c:catAx>
      <c:valAx>
        <c:axId val="188254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254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48E-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1332461252146826E-2"/>
          <c:y val="0.17171296296296296"/>
          <c:w val="0.8050236787522608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'p105(const)'!$F$3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'p105(const)'!$G$2:$Q$2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'p105(const)'!$G$3:$Q$3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53744"/>
        <c:axId val="1929761904"/>
      </c:lineChart>
      <c:catAx>
        <c:axId val="1929753744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61904"/>
        <c:crosses val="autoZero"/>
        <c:auto val="1"/>
        <c:lblAlgn val="ctr"/>
        <c:lblOffset val="100"/>
        <c:noMultiLvlLbl val="0"/>
      </c:catAx>
      <c:valAx>
        <c:axId val="192976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5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597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8150481189851271E-2"/>
          <c:y val="0.17171296296296296"/>
          <c:w val="0.71851618547681539"/>
          <c:h val="0.72088764946048411"/>
        </c:manualLayout>
      </c:layout>
      <c:lineChart>
        <c:grouping val="standard"/>
        <c:varyColors val="0"/>
        <c:ser>
          <c:idx val="1"/>
          <c:order val="0"/>
          <c:tx>
            <c:strRef>
              <c:f>'p105(const)'!$F$10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'p105(const)'!$G$2:$Q$2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'p105(const)'!$G$10:$Q$10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'p105(const)'!$F$10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'p105(const)'!$G$2:$Q$2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'p105(const)'!$G$10:$Q$10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55376"/>
        <c:axId val="1929759728"/>
      </c:lineChart>
      <c:catAx>
        <c:axId val="1929755376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59728"/>
        <c:crosses val="autoZero"/>
        <c:auto val="1"/>
        <c:lblAlgn val="ctr"/>
        <c:lblOffset val="100"/>
        <c:noMultiLvlLbl val="0"/>
      </c:catAx>
      <c:valAx>
        <c:axId val="192975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5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3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'p105(const)'!$G$2:$Q$2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'p105(const)'!$G$6:$Q$6</c:f>
              <c:numCache>
                <c:formatCode>General</c:formatCode>
                <c:ptCount val="11"/>
                <c:pt idx="0">
                  <c:v>104786.74969044352</c:v>
                </c:pt>
                <c:pt idx="1">
                  <c:v>104735.69568468926</c:v>
                </c:pt>
                <c:pt idx="2">
                  <c:v>104669.06973257133</c:v>
                </c:pt>
                <c:pt idx="3">
                  <c:v>104580.80925100141</c:v>
                </c:pt>
                <c:pt idx="4">
                  <c:v>104461.9110868548</c:v>
                </c:pt>
                <c:pt idx="5">
                  <c:v>104298.68268516126</c:v>
                </c:pt>
                <c:pt idx="6">
                  <c:v>104069.73174391234</c:v>
                </c:pt>
                <c:pt idx="7">
                  <c:v>103740.59722115673</c:v>
                </c:pt>
                <c:pt idx="8">
                  <c:v>103253.77822206651</c:v>
                </c:pt>
                <c:pt idx="9">
                  <c:v>102509.33114784503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58096"/>
        <c:axId val="1929762448"/>
      </c:lineChart>
      <c:catAx>
        <c:axId val="1929758096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62448"/>
        <c:crosses val="autoZero"/>
        <c:auto val="1"/>
        <c:lblAlgn val="ctr"/>
        <c:lblOffset val="100"/>
        <c:noMultiLvlLbl val="0"/>
      </c:catAx>
      <c:valAx>
        <c:axId val="192976244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58096"/>
        <c:crosses val="autoZero"/>
        <c:crossBetween val="between"/>
      </c:valAx>
      <c:spPr>
        <a:noFill/>
        <a:ln>
          <a:solidFill>
            <a:schemeClr val="dk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873E-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493775899152129"/>
          <c:y val="0.19486111111111112"/>
          <c:w val="0.74507174103237095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'p105(const)'!$G$2:$Q$2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'p105(const)'!$G$13:$Q$13</c:f>
              <c:numCache>
                <c:formatCode>0.00</c:formatCode>
                <c:ptCount val="11"/>
                <c:pt idx="0" formatCode="General">
                  <c:v>18.971455724631262</c:v>
                </c:pt>
                <c:pt idx="1">
                  <c:v>21.021003515972847</c:v>
                </c:pt>
                <c:pt idx="2">
                  <c:v>23.421546709326705</c:v>
                </c:pt>
                <c:pt idx="3">
                  <c:v>26.258062924428092</c:v>
                </c:pt>
                <c:pt idx="4">
                  <c:v>29.642888449763046</c:v>
                </c:pt>
                <c:pt idx="5">
                  <c:v>33.727017403258657</c:v>
                </c:pt>
                <c:pt idx="6">
                  <c:v>38.717237726899626</c:v>
                </c:pt>
                <c:pt idx="7">
                  <c:v>44.902831069280374</c:v>
                </c:pt>
                <c:pt idx="8">
                  <c:v>52.698461352696171</c:v>
                </c:pt>
                <c:pt idx="9">
                  <c:v>62.715524639686627</c:v>
                </c:pt>
                <c:pt idx="10">
                  <c:v>75.885785248200023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62992"/>
        <c:axId val="1929765168"/>
      </c:lineChart>
      <c:catAx>
        <c:axId val="1929762992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65168"/>
        <c:crosses val="autoZero"/>
        <c:auto val="1"/>
        <c:lblAlgn val="ctr"/>
        <c:lblOffset val="100"/>
        <c:noMultiLvlLbl val="0"/>
      </c:catAx>
      <c:valAx>
        <c:axId val="192976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6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48E-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1332461252146826E-2"/>
          <c:y val="0.17171296296296296"/>
          <c:w val="0.8050236787522608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'p105(var)'!$F$3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'p105(var)'!$G$2:$Q$2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'p105(var)'!$G$3:$Q$3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0317504"/>
        <c:axId val="1929761360"/>
      </c:lineChart>
      <c:catAx>
        <c:axId val="1780317504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61360"/>
        <c:crosses val="autoZero"/>
        <c:auto val="1"/>
        <c:lblAlgn val="ctr"/>
        <c:lblOffset val="100"/>
        <c:noMultiLvlLbl val="0"/>
      </c:catAx>
      <c:valAx>
        <c:axId val="192976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8031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597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8150481189851271E-2"/>
          <c:y val="0.17171296296296296"/>
          <c:w val="0.71851618547681539"/>
          <c:h val="0.72088764946048411"/>
        </c:manualLayout>
      </c:layout>
      <c:lineChart>
        <c:grouping val="standard"/>
        <c:varyColors val="0"/>
        <c:ser>
          <c:idx val="1"/>
          <c:order val="0"/>
          <c:tx>
            <c:strRef>
              <c:f>'p105(var)'!$F$10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'p105(var)'!$G$2:$Q$2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'p105(var)'!$G$10:$Q$10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'p105(var)'!$F$10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'p105(var)'!$G$2:$Q$2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'p105(var)'!$G$10:$Q$10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57008"/>
        <c:axId val="1929768976"/>
      </c:lineChart>
      <c:catAx>
        <c:axId val="1929757008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68976"/>
        <c:crosses val="autoZero"/>
        <c:auto val="1"/>
        <c:lblAlgn val="ctr"/>
        <c:lblOffset val="100"/>
        <c:noMultiLvlLbl val="0"/>
      </c:catAx>
      <c:valAx>
        <c:axId val="192976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5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3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407238429365406"/>
          <c:y val="0.19486111111111112"/>
          <c:w val="0.70184673738412251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'p105(var)'!$G$2:$Q$2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'p105(var)'!$G$6:$Q$6</c:f>
              <c:numCache>
                <c:formatCode>General</c:formatCode>
                <c:ptCount val="11"/>
                <c:pt idx="0">
                  <c:v>104795.37046284738</c:v>
                </c:pt>
                <c:pt idx="1">
                  <c:v>104746.20531791639</c:v>
                </c:pt>
                <c:pt idx="2">
                  <c:v>104681.8857714749</c:v>
                </c:pt>
                <c:pt idx="3">
                  <c:v>104596.46859521579</c:v>
                </c:pt>
                <c:pt idx="4">
                  <c:v>104481.07197642179</c:v>
                </c:pt>
                <c:pt idx="5">
                  <c:v>104322.10705669131</c:v>
                </c:pt>
                <c:pt idx="6">
                  <c:v>104098.16192725667</c:v>
                </c:pt>
                <c:pt idx="7">
                  <c:v>103774.30941407706</c:v>
                </c:pt>
                <c:pt idx="8">
                  <c:v>103291.16099902632</c:v>
                </c:pt>
                <c:pt idx="9">
                  <c:v>102542.43320918738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54832"/>
        <c:axId val="1929764080"/>
      </c:lineChart>
      <c:catAx>
        <c:axId val="1929754832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64080"/>
        <c:crosses val="autoZero"/>
        <c:auto val="1"/>
        <c:lblAlgn val="ctr"/>
        <c:lblOffset val="100"/>
        <c:noMultiLvlLbl val="0"/>
      </c:catAx>
      <c:valAx>
        <c:axId val="1929764080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54832"/>
        <c:crosses val="autoZero"/>
        <c:crossBetween val="between"/>
      </c:valAx>
      <c:spPr>
        <a:noFill/>
        <a:ln>
          <a:solidFill>
            <a:schemeClr val="dk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873E-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493775899152129"/>
          <c:y val="0.19486111111111112"/>
          <c:w val="0.74507174103237095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'p105(var)'!$G$2:$Q$2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'p105(var)'!$G$13:$Q$13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67344"/>
        <c:axId val="1929760272"/>
      </c:lineChart>
      <c:catAx>
        <c:axId val="1929767344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60272"/>
        <c:crosses val="autoZero"/>
        <c:auto val="1"/>
        <c:lblAlgn val="ctr"/>
        <c:lblOffset val="100"/>
        <c:noMultiLvlLbl val="0"/>
      </c:catAx>
      <c:valAx>
        <c:axId val="192976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6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48E-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1332461252146826E-2"/>
          <c:y val="0.17171296296296296"/>
          <c:w val="0.8050236787522608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'M1,5(const)'!$F$3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'M1,5(const)'!$G$3:$Q$3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2556144"/>
        <c:axId val="1929766800"/>
      </c:lineChart>
      <c:catAx>
        <c:axId val="188255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66800"/>
        <c:crosses val="autoZero"/>
        <c:auto val="1"/>
        <c:lblAlgn val="ctr"/>
        <c:lblOffset val="100"/>
        <c:noMultiLvlLbl val="0"/>
      </c:catAx>
      <c:valAx>
        <c:axId val="192976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255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597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8150481189851271E-2"/>
          <c:y val="0.17171296296296296"/>
          <c:w val="0.71851618547681539"/>
          <c:h val="0.72088764946048411"/>
        </c:manualLayout>
      </c:layout>
      <c:lineChart>
        <c:grouping val="standard"/>
        <c:varyColors val="0"/>
        <c:ser>
          <c:idx val="1"/>
          <c:order val="0"/>
          <c:tx>
            <c:strRef>
              <c:f>'M1,5(const)'!$F$10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'M1,5(const)'!$G$10:$Q$10</c:f>
              <c:numCache>
                <c:formatCode>0.000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 formatCode="0.00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'M1,5(const)'!$F$10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'M1,5(const)'!$G$10:$Q$10</c:f>
              <c:numCache>
                <c:formatCode>0.000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 formatCode="0.00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54288"/>
        <c:axId val="1929756464"/>
      </c:lineChart>
      <c:catAx>
        <c:axId val="192975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56464"/>
        <c:crosses val="autoZero"/>
        <c:auto val="1"/>
        <c:lblAlgn val="ctr"/>
        <c:lblOffset val="100"/>
        <c:noMultiLvlLbl val="0"/>
      </c:catAx>
      <c:valAx>
        <c:axId val="192975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5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3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'M1,5(const)'!$G$6:$Q$6</c:f>
              <c:numCache>
                <c:formatCode>General</c:formatCode>
                <c:ptCount val="11"/>
                <c:pt idx="0">
                  <c:v>211245.16057183896</c:v>
                </c:pt>
                <c:pt idx="1">
                  <c:v>209627.88029721737</c:v>
                </c:pt>
                <c:pt idx="2">
                  <c:v>207514.57687025546</c:v>
                </c:pt>
                <c:pt idx="3">
                  <c:v>204713.35765700546</c:v>
                </c:pt>
                <c:pt idx="4">
                  <c:v>200938.0193143356</c:v>
                </c:pt>
                <c:pt idx="5">
                  <c:v>195753.54995743209</c:v>
                </c:pt>
                <c:pt idx="6">
                  <c:v>188480.7162976643</c:v>
                </c:pt>
                <c:pt idx="7">
                  <c:v>178025.8488447472</c:v>
                </c:pt>
                <c:pt idx="8">
                  <c:v>162564.54158267644</c:v>
                </c:pt>
                <c:pt idx="9">
                  <c:v>138925.69777259091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58640"/>
        <c:axId val="1929767888"/>
      </c:lineChart>
      <c:catAx>
        <c:axId val="192975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67888"/>
        <c:crosses val="autoZero"/>
        <c:auto val="1"/>
        <c:lblAlgn val="ctr"/>
        <c:lblOffset val="100"/>
        <c:noMultiLvlLbl val="0"/>
      </c:catAx>
      <c:valAx>
        <c:axId val="1929767888"/>
        <c:scaling>
          <c:orientation val="minMax"/>
          <c:min val="9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58640"/>
        <c:crosses val="autoZero"/>
        <c:crossBetween val="between"/>
      </c:valAx>
      <c:spPr>
        <a:noFill/>
        <a:ln>
          <a:solidFill>
            <a:schemeClr val="dk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873E-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493775899152129"/>
          <c:y val="0.19486111111111112"/>
          <c:w val="0.74507174103237095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'M1,5(const)'!$G$2:$Q$2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'M1,5(const)'!$G$13:$Q$13</c:f>
              <c:numCache>
                <c:formatCode>General</c:formatCode>
                <c:ptCount val="11"/>
                <c:pt idx="0">
                  <c:v>106.77369743876154</c:v>
                </c:pt>
                <c:pt idx="1">
                  <c:v>118.30906417455424</c:v>
                </c:pt>
                <c:pt idx="2">
                  <c:v>131.83577490525659</c:v>
                </c:pt>
                <c:pt idx="3">
                  <c:v>147.82616174361391</c:v>
                </c:pt>
                <c:pt idx="4">
                  <c:v>166.9128718972006</c:v>
                </c:pt>
                <c:pt idx="5">
                  <c:v>189.9455041893037</c:v>
                </c:pt>
                <c:pt idx="6">
                  <c:v>218.08692931277685</c:v>
                </c:pt>
                <c:pt idx="7">
                  <c:v>252.96367959781344</c:v>
                </c:pt>
                <c:pt idx="8">
                  <c:v>296.90800318091112</c:v>
                </c:pt>
                <c:pt idx="9">
                  <c:v>353.36110070674175</c:v>
                </c:pt>
                <c:pt idx="10">
                  <c:v>427.57201213450554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9759184"/>
        <c:axId val="1929768432"/>
      </c:lineChart>
      <c:catAx>
        <c:axId val="192975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68432"/>
        <c:crosses val="autoZero"/>
        <c:auto val="1"/>
        <c:lblAlgn val="ctr"/>
        <c:lblOffset val="100"/>
        <c:noMultiLvlLbl val="0"/>
      </c:catAx>
      <c:valAx>
        <c:axId val="192976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975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48E-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1332461252146826E-2"/>
          <c:y val="0.17171296296296296"/>
          <c:w val="0.8050236787522608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'M1,5(var)'!$F$3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'M1,5(var)'!$G$2:$Q$2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'M1,5(var)'!$G$3:$Q$3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4013168"/>
        <c:axId val="1984013712"/>
      </c:lineChart>
      <c:catAx>
        <c:axId val="1984013168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013712"/>
        <c:crosses val="autoZero"/>
        <c:auto val="1"/>
        <c:lblAlgn val="ctr"/>
        <c:lblOffset val="100"/>
        <c:noMultiLvlLbl val="0"/>
      </c:catAx>
      <c:valAx>
        <c:axId val="198401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01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597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8150481189851271E-2"/>
          <c:y val="0.17171296296296296"/>
          <c:w val="0.71851618547681539"/>
          <c:h val="0.72088764946048411"/>
        </c:manualLayout>
      </c:layout>
      <c:lineChart>
        <c:grouping val="standard"/>
        <c:varyColors val="0"/>
        <c:ser>
          <c:idx val="1"/>
          <c:order val="0"/>
          <c:tx>
            <c:strRef>
              <c:f>'M1,5(var)'!$F$10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'M1,5(var)'!$G$2:$Q$2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'M1,5(var)'!$G$10:$Q$10</c:f>
              <c:numCache>
                <c:formatCode>0.000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'M1,5(var)'!$F$10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'M1,5(var)'!$G$2:$Q$2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'M1,5(var)'!$G$10:$Q$10</c:f>
              <c:numCache>
                <c:formatCode>0.000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4016432"/>
        <c:axId val="1984016976"/>
      </c:lineChart>
      <c:catAx>
        <c:axId val="1984016432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016976"/>
        <c:crosses val="autoZero"/>
        <c:auto val="1"/>
        <c:lblAlgn val="ctr"/>
        <c:lblOffset val="100"/>
        <c:noMultiLvlLbl val="0"/>
      </c:catAx>
      <c:valAx>
        <c:axId val="198401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01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3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407238429365406"/>
          <c:y val="0.19486111111111112"/>
          <c:w val="0.70184673738412251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'M1,5(var)'!$G$2:$Q$2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'M1,5(var)'!$G$6:$Q$6</c:f>
              <c:numCache>
                <c:formatCode>General</c:formatCode>
                <c:ptCount val="11"/>
                <c:pt idx="0">
                  <c:v>345885.48181827401</c:v>
                </c:pt>
                <c:pt idx="1">
                  <c:v>344879.25937080476</c:v>
                </c:pt>
                <c:pt idx="2">
                  <c:v>343562.97041012999</c:v>
                </c:pt>
                <c:pt idx="3">
                  <c:v>341797.63022535248</c:v>
                </c:pt>
                <c:pt idx="4">
                  <c:v>339380.5659845976</c:v>
                </c:pt>
                <c:pt idx="5">
                  <c:v>335988.65948717593</c:v>
                </c:pt>
                <c:pt idx="6">
                  <c:v>331081.85058878252</c:v>
                </c:pt>
                <c:pt idx="7">
                  <c:v>323696.64769306255</c:v>
                </c:pt>
                <c:pt idx="8">
                  <c:v>311934.4041231263</c:v>
                </c:pt>
                <c:pt idx="9">
                  <c:v>291317.57904759562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4018064"/>
        <c:axId val="1984018608"/>
      </c:lineChart>
      <c:catAx>
        <c:axId val="1984018064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018608"/>
        <c:crosses val="autoZero"/>
        <c:auto val="1"/>
        <c:lblAlgn val="ctr"/>
        <c:lblOffset val="100"/>
        <c:noMultiLvlLbl val="0"/>
      </c:catAx>
      <c:valAx>
        <c:axId val="1984018608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018064"/>
        <c:crosses val="autoZero"/>
        <c:crossBetween val="between"/>
      </c:valAx>
      <c:spPr>
        <a:noFill/>
        <a:ln>
          <a:solidFill>
            <a:schemeClr val="dk1"/>
          </a:solidFill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873E-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493775899152129"/>
          <c:y val="0.19486111111111112"/>
          <c:w val="0.74507174103237095"/>
          <c:h val="0.72088764946048411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'M1,5(var)'!$G$2:$Q$2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'M1,5(var)'!$G$13:$Q$13</c:f>
              <c:numCache>
                <c:formatCode>0.00</c:formatCode>
                <c:ptCount val="11"/>
                <c:pt idx="0" formatCode="General">
                  <c:v>44.279655388571626</c:v>
                </c:pt>
                <c:pt idx="1">
                  <c:v>49.167076154097323</c:v>
                </c:pt>
                <c:pt idx="2">
                  <c:v>54.907783128874669</c:v>
                </c:pt>
                <c:pt idx="3">
                  <c:v>61.776160474409025</c:v>
                </c:pt>
                <c:pt idx="4">
                  <c:v>70.105521972519099</c:v>
                </c:pt>
                <c:pt idx="5">
                  <c:v>80.375609449287566</c:v>
                </c:pt>
                <c:pt idx="6">
                  <c:v>93.311479205994601</c:v>
                </c:pt>
                <c:pt idx="7">
                  <c:v>110.08948017821383</c:v>
                </c:pt>
                <c:pt idx="8">
                  <c:v>132.8452587119364</c:v>
                </c:pt>
                <c:pt idx="9">
                  <c:v>166.34474513447597</c:v>
                </c:pt>
                <c:pt idx="10">
                  <c:v>421.4106349888167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4019152"/>
        <c:axId val="1882546896"/>
      </c:lineChart>
      <c:catAx>
        <c:axId val="1984019152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82546896"/>
        <c:crosses val="autoZero"/>
        <c:auto val="1"/>
        <c:lblAlgn val="ctr"/>
        <c:lblOffset val="100"/>
        <c:noMultiLvlLbl val="0"/>
      </c:catAx>
      <c:valAx>
        <c:axId val="18825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401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585786</xdr:colOff>
      <xdr:row>20</xdr:row>
      <xdr:rowOff>61912</xdr:rowOff>
    </xdr:from>
    <xdr:to>
      <xdr:col>8</xdr:col>
      <xdr:colOff>447674</xdr:colOff>
      <xdr:row>34</xdr:row>
      <xdr:rowOff>138112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152400</xdr:colOff>
      <xdr:row>20</xdr:row>
      <xdr:rowOff>71437</xdr:rowOff>
    </xdr:from>
    <xdr:to>
      <xdr:col>16</xdr:col>
      <xdr:colOff>257175</xdr:colOff>
      <xdr:row>34</xdr:row>
      <xdr:rowOff>147637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133350</xdr:rowOff>
        </xdr:from>
        <xdr:to>
          <xdr:col>3</xdr:col>
          <xdr:colOff>361950</xdr:colOff>
          <xdr:row>18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13608</xdr:colOff>
      <xdr:row>36</xdr:row>
      <xdr:rowOff>23133</xdr:rowOff>
    </xdr:from>
    <xdr:to>
      <xdr:col>8</xdr:col>
      <xdr:colOff>449036</xdr:colOff>
      <xdr:row>50</xdr:row>
      <xdr:rowOff>99333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47623</xdr:colOff>
      <xdr:row>35</xdr:row>
      <xdr:rowOff>172810</xdr:rowOff>
    </xdr:from>
    <xdr:to>
      <xdr:col>16</xdr:col>
      <xdr:colOff>142873</xdr:colOff>
      <xdr:row>50</xdr:row>
      <xdr:rowOff>58510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0.90451</cdr:x>
      <cdr:y>0.87157</cdr:y>
    </cdr:from>
    <cdr:to>
      <cdr:x>1</cdr:x>
      <cdr:y>0.97196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320563" y="2390900"/>
          <a:ext cx="456135" cy="2753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0.87448</cdr:x>
      <cdr:y>0.877</cdr:y>
    </cdr:from>
    <cdr:to>
      <cdr:x>0.99163</cdr:x>
      <cdr:y>0.98264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3981452" y="2405783"/>
          <a:ext cx="533398" cy="289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150358</xdr:colOff>
      <xdr:row>24</xdr:row>
      <xdr:rowOff>102734</xdr:rowOff>
    </xdr:from>
    <xdr:to>
      <xdr:col>8</xdr:col>
      <xdr:colOff>12246</xdr:colOff>
      <xdr:row>38</xdr:row>
      <xdr:rowOff>178934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574221</xdr:colOff>
      <xdr:row>24</xdr:row>
      <xdr:rowOff>30616</xdr:rowOff>
    </xdr:from>
    <xdr:to>
      <xdr:col>16</xdr:col>
      <xdr:colOff>39460</xdr:colOff>
      <xdr:row>38</xdr:row>
      <xdr:rowOff>106816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187056</xdr:colOff>
      <xdr:row>40</xdr:row>
      <xdr:rowOff>94328</xdr:rowOff>
    </xdr:from>
    <xdr:to>
      <xdr:col>7</xdr:col>
      <xdr:colOff>447914</xdr:colOff>
      <xdr:row>54</xdr:row>
      <xdr:rowOff>170528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485191</xdr:colOff>
      <xdr:row>40</xdr:row>
      <xdr:rowOff>115514</xdr:rowOff>
    </xdr:from>
    <xdr:to>
      <xdr:col>15</xdr:col>
      <xdr:colOff>589966</xdr:colOff>
      <xdr:row>55</xdr:row>
      <xdr:rowOff>1214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133350</xdr:rowOff>
        </xdr:from>
        <xdr:to>
          <xdr:col>3</xdr:col>
          <xdr:colOff>361950</xdr:colOff>
          <xdr:row>18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0.81668</cdr:x>
      <cdr:y>0.89961</cdr:y>
    </cdr:from>
    <cdr:to>
      <cdr:x>0.97782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14190" y="2467816"/>
          <a:ext cx="732864" cy="2753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585786</xdr:colOff>
      <xdr:row>20</xdr:row>
      <xdr:rowOff>61912</xdr:rowOff>
    </xdr:from>
    <xdr:to>
      <xdr:col>8</xdr:col>
      <xdr:colOff>447674</xdr:colOff>
      <xdr:row>34</xdr:row>
      <xdr:rowOff>138112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152400</xdr:colOff>
      <xdr:row>20</xdr:row>
      <xdr:rowOff>71437</xdr:rowOff>
    </xdr:from>
    <xdr:to>
      <xdr:col>16</xdr:col>
      <xdr:colOff>257175</xdr:colOff>
      <xdr:row>34</xdr:row>
      <xdr:rowOff>147637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50986</xdr:colOff>
      <xdr:row>36</xdr:row>
      <xdr:rowOff>53508</xdr:rowOff>
    </xdr:from>
    <xdr:to>
      <xdr:col>8</xdr:col>
      <xdr:colOff>284629</xdr:colOff>
      <xdr:row>50</xdr:row>
      <xdr:rowOff>129708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158619</xdr:colOff>
      <xdr:row>36</xdr:row>
      <xdr:rowOff>20264</xdr:rowOff>
    </xdr:from>
    <xdr:to>
      <xdr:col>16</xdr:col>
      <xdr:colOff>263394</xdr:colOff>
      <xdr:row>50</xdr:row>
      <xdr:rowOff>96464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133350</xdr:rowOff>
        </xdr:from>
        <xdr:to>
          <xdr:col>3</xdr:col>
          <xdr:colOff>361950</xdr:colOff>
          <xdr:row>18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0.81668</cdr:x>
      <cdr:y>0.89961</cdr:y>
    </cdr:from>
    <cdr:to>
      <cdr:x>0.97782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14190" y="2467816"/>
          <a:ext cx="732864" cy="2753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150358</xdr:colOff>
      <xdr:row>24</xdr:row>
      <xdr:rowOff>102734</xdr:rowOff>
    </xdr:from>
    <xdr:to>
      <xdr:col>8</xdr:col>
      <xdr:colOff>12246</xdr:colOff>
      <xdr:row>38</xdr:row>
      <xdr:rowOff>178934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574221</xdr:colOff>
      <xdr:row>24</xdr:row>
      <xdr:rowOff>30616</xdr:rowOff>
    </xdr:from>
    <xdr:to>
      <xdr:col>16</xdr:col>
      <xdr:colOff>39460</xdr:colOff>
      <xdr:row>38</xdr:row>
      <xdr:rowOff>106816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187056</xdr:colOff>
      <xdr:row>40</xdr:row>
      <xdr:rowOff>94328</xdr:rowOff>
    </xdr:from>
    <xdr:to>
      <xdr:col>7</xdr:col>
      <xdr:colOff>447914</xdr:colOff>
      <xdr:row>54</xdr:row>
      <xdr:rowOff>170528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485191</xdr:colOff>
      <xdr:row>40</xdr:row>
      <xdr:rowOff>115514</xdr:rowOff>
    </xdr:from>
    <xdr:to>
      <xdr:col>15</xdr:col>
      <xdr:colOff>589966</xdr:colOff>
      <xdr:row>55</xdr:row>
      <xdr:rowOff>1214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133350</xdr:rowOff>
        </xdr:from>
        <xdr:to>
          <xdr:col>3</xdr:col>
          <xdr:colOff>361950</xdr:colOff>
          <xdr:row>18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0.81668</cdr:x>
      <cdr:y>0.89961</cdr:y>
    </cdr:from>
    <cdr:to>
      <cdr:x>0.97782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14190" y="2467816"/>
          <a:ext cx="732864" cy="2753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585786</xdr:colOff>
      <xdr:row>20</xdr:row>
      <xdr:rowOff>61912</xdr:rowOff>
    </xdr:from>
    <xdr:to>
      <xdr:col>8</xdr:col>
      <xdr:colOff>447674</xdr:colOff>
      <xdr:row>34</xdr:row>
      <xdr:rowOff>138112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152400</xdr:colOff>
      <xdr:row>20</xdr:row>
      <xdr:rowOff>71437</xdr:rowOff>
    </xdr:from>
    <xdr:to>
      <xdr:col>16</xdr:col>
      <xdr:colOff>257175</xdr:colOff>
      <xdr:row>34</xdr:row>
      <xdr:rowOff>147637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50986</xdr:colOff>
      <xdr:row>36</xdr:row>
      <xdr:rowOff>53508</xdr:rowOff>
    </xdr:from>
    <xdr:to>
      <xdr:col>8</xdr:col>
      <xdr:colOff>284629</xdr:colOff>
      <xdr:row>50</xdr:row>
      <xdr:rowOff>129708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158619</xdr:colOff>
      <xdr:row>36</xdr:row>
      <xdr:rowOff>20264</xdr:rowOff>
    </xdr:from>
    <xdr:to>
      <xdr:col>16</xdr:col>
      <xdr:colOff>263394</xdr:colOff>
      <xdr:row>50</xdr:row>
      <xdr:rowOff>96464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133350</xdr:rowOff>
        </xdr:from>
        <xdr:to>
          <xdr:col>3</xdr:col>
          <xdr:colOff>361950</xdr:colOff>
          <xdr:row>18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0.81668</cdr:x>
      <cdr:y>0.89961</cdr:y>
    </cdr:from>
    <cdr:to>
      <cdr:x>0.97782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14190" y="2467816"/>
          <a:ext cx="732864" cy="2753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150358</xdr:colOff>
      <xdr:row>24</xdr:row>
      <xdr:rowOff>102734</xdr:rowOff>
    </xdr:from>
    <xdr:to>
      <xdr:col>8</xdr:col>
      <xdr:colOff>12246</xdr:colOff>
      <xdr:row>38</xdr:row>
      <xdr:rowOff>178934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574221</xdr:colOff>
      <xdr:row>24</xdr:row>
      <xdr:rowOff>30616</xdr:rowOff>
    </xdr:from>
    <xdr:to>
      <xdr:col>16</xdr:col>
      <xdr:colOff>39460</xdr:colOff>
      <xdr:row>38</xdr:row>
      <xdr:rowOff>106816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187056</xdr:colOff>
      <xdr:row>40</xdr:row>
      <xdr:rowOff>94328</xdr:rowOff>
    </xdr:from>
    <xdr:to>
      <xdr:col>7</xdr:col>
      <xdr:colOff>447914</xdr:colOff>
      <xdr:row>54</xdr:row>
      <xdr:rowOff>170528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485191</xdr:colOff>
      <xdr:row>40</xdr:row>
      <xdr:rowOff>115514</xdr:rowOff>
    </xdr:from>
    <xdr:to>
      <xdr:col>15</xdr:col>
      <xdr:colOff>589966</xdr:colOff>
      <xdr:row>55</xdr:row>
      <xdr:rowOff>1214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133350</xdr:rowOff>
        </xdr:from>
        <xdr:to>
          <xdr:col>3</xdr:col>
          <xdr:colOff>361950</xdr:colOff>
          <xdr:row>18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0.81668</cdr:x>
      <cdr:y>0.89961</cdr:y>
    </cdr:from>
    <cdr:to>
      <cdr:x>0.97782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14190" y="2467816"/>
          <a:ext cx="732864" cy="2753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60;&#1048;&#1053;&#1040;&#1051;&#1068;&#1053;&#1067;&#1049;%20&#1057;%20&#1044;&#1047;%20MKR5_Bodrov%20A.A.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p_135"/>
      <sheetName val="var_p_135"/>
      <sheetName val="const_p_105"/>
      <sheetName val="var_p_105"/>
      <sheetName val="M=1,5(const)"/>
      <sheetName val="M=1,5(var)"/>
    </sheetNames>
    <definedNames>
      <definedName name="Bodrov"/>
    </definedNames>
    <sheetDataSet>
      <sheetData sheetId="0">
        <row r="2">
          <cell r="G2">
            <v>0</v>
          </cell>
          <cell r="H2">
            <v>0.01</v>
          </cell>
          <cell r="I2">
            <v>0.02</v>
          </cell>
          <cell r="J2">
            <v>0.03</v>
          </cell>
          <cell r="K2">
            <v>0.04</v>
          </cell>
          <cell r="L2">
            <v>0.05</v>
          </cell>
          <cell r="M2">
            <v>6.0000000000000005E-2</v>
          </cell>
          <cell r="N2">
            <v>7.0000000000000007E-2</v>
          </cell>
          <cell r="O2">
            <v>0.08</v>
          </cell>
          <cell r="P2">
            <v>0.09</v>
          </cell>
          <cell r="Q2">
            <v>9.9999999999999992E-2</v>
          </cell>
        </row>
        <row r="6">
          <cell r="G6">
            <v>133051.53526306202</v>
          </cell>
          <cell r="H6">
            <v>132585.0204570019</v>
          </cell>
          <cell r="I6">
            <v>131975.35096062184</v>
          </cell>
          <cell r="J6">
            <v>131167.04864642158</v>
          </cell>
          <cell r="K6">
            <v>130077.46773118924</v>
          </cell>
          <cell r="L6">
            <v>128581.01478432902</v>
          </cell>
          <cell r="M6">
            <v>126481.62501993927</v>
          </cell>
          <cell r="N6">
            <v>123463.65894101333</v>
          </cell>
          <cell r="O6">
            <v>119000.64254371547</v>
          </cell>
          <cell r="P6">
            <v>112177.50864414575</v>
          </cell>
          <cell r="Q6">
            <v>101325</v>
          </cell>
        </row>
        <row r="23">
          <cell r="S23">
            <v>0</v>
          </cell>
          <cell r="T23">
            <v>2.5000000000000001E-2</v>
          </cell>
          <cell r="U23">
            <v>0.05</v>
          </cell>
          <cell r="V23">
            <v>7.4999999999999997E-2</v>
          </cell>
          <cell r="W23">
            <v>0.1</v>
          </cell>
        </row>
        <row r="25">
          <cell r="S25">
            <v>132552</v>
          </cell>
          <cell r="T25">
            <v>131334</v>
          </cell>
          <cell r="U25">
            <v>128213</v>
          </cell>
          <cell r="V25">
            <v>120941</v>
          </cell>
          <cell r="W25">
            <v>101336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X24"/>
  <sheetViews>
    <sheetView tabSelected="1" topLeftCell="E1" zoomScale="70" zoomScaleNormal="70" workbookViewId="0">
      <selection activeCell="T44" sqref="T44"/>
    </sheetView>
  </sheetViews>
  <sheetFormatPr defaultRowHeight="15" x14ac:dyDescent="0.25"/>
  <cols>
    <col min="7" max="7" width="9.7109375" bestFit="1" customWidth="1"/>
    <col min="8" max="17" width="9.5703125" bestFit="1" customWidth="1"/>
  </cols>
  <sheetData>
    <row r="1" spans="2:24" x14ac:dyDescent="0.25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24" x14ac:dyDescent="0.25">
      <c r="F2" s="1" t="s">
        <v>10</v>
      </c>
      <c r="G2" s="1">
        <v>0</v>
      </c>
      <c r="H2" s="1">
        <f>G2+$C$4</f>
        <v>0.01</v>
      </c>
      <c r="I2" s="1">
        <f t="shared" ref="I2:Q2" si="0">H2+$C$4</f>
        <v>0.02</v>
      </c>
      <c r="J2" s="1">
        <f t="shared" si="0"/>
        <v>0.03</v>
      </c>
      <c r="K2" s="1">
        <f t="shared" si="0"/>
        <v>0.04</v>
      </c>
      <c r="L2" s="1">
        <f t="shared" si="0"/>
        <v>0.05</v>
      </c>
      <c r="M2" s="1">
        <f t="shared" si="0"/>
        <v>6.0000000000000005E-2</v>
      </c>
      <c r="N2" s="1">
        <f t="shared" si="0"/>
        <v>7.0000000000000007E-2</v>
      </c>
      <c r="O2" s="1">
        <f t="shared" si="0"/>
        <v>0.08</v>
      </c>
      <c r="P2" s="1">
        <f t="shared" si="0"/>
        <v>0.09</v>
      </c>
      <c r="Q2" s="1">
        <f t="shared" si="0"/>
        <v>9.9999999999999992E-2</v>
      </c>
    </row>
    <row r="3" spans="2:24" x14ac:dyDescent="0.25">
      <c r="B3" s="1" t="s">
        <v>0</v>
      </c>
      <c r="C3" s="1">
        <v>0.1</v>
      </c>
      <c r="F3" s="1" t="s">
        <v>3</v>
      </c>
      <c r="G3" s="1">
        <v>0.08</v>
      </c>
      <c r="H3" s="1">
        <f>G3+($Q$3-$G$3)/10</f>
        <v>7.5999999999999998E-2</v>
      </c>
      <c r="I3" s="1">
        <f t="shared" ref="I3:P3" si="1">H3+($Q$3-$G$3)/10</f>
        <v>7.1999999999999995E-2</v>
      </c>
      <c r="J3" s="1">
        <f t="shared" si="1"/>
        <v>6.7999999999999991E-2</v>
      </c>
      <c r="K3" s="1">
        <f t="shared" si="1"/>
        <v>6.3999999999999987E-2</v>
      </c>
      <c r="L3" s="1">
        <f t="shared" si="1"/>
        <v>5.9999999999999984E-2</v>
      </c>
      <c r="M3" s="1">
        <f t="shared" si="1"/>
        <v>5.599999999999998E-2</v>
      </c>
      <c r="N3" s="1">
        <f t="shared" si="1"/>
        <v>5.1999999999999977E-2</v>
      </c>
      <c r="O3" s="1">
        <f t="shared" si="1"/>
        <v>4.7999999999999973E-2</v>
      </c>
      <c r="P3" s="1">
        <f t="shared" si="1"/>
        <v>4.399999999999997E-2</v>
      </c>
      <c r="Q3" s="1">
        <v>0.04</v>
      </c>
    </row>
    <row r="4" spans="2:24" x14ac:dyDescent="0.25">
      <c r="B4" s="1" t="s">
        <v>1</v>
      </c>
      <c r="C4" s="1">
        <f>C3/10</f>
        <v>0.01</v>
      </c>
      <c r="F4" s="1" t="s">
        <v>11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  <c r="S4" s="7"/>
      <c r="T4" s="7">
        <v>0</v>
      </c>
      <c r="U4" s="6">
        <v>2.5000000000000001E-2</v>
      </c>
      <c r="V4" s="7">
        <v>0.05</v>
      </c>
      <c r="W4" s="6">
        <v>7.4999999999999997E-2</v>
      </c>
      <c r="X4" s="7">
        <v>0.1</v>
      </c>
    </row>
    <row r="5" spans="2:24" x14ac:dyDescent="0.25">
      <c r="F5" s="1" t="s">
        <v>12</v>
      </c>
      <c r="G5" s="1">
        <v>57.345999103135519</v>
      </c>
      <c r="H5" s="1">
        <v>63.541424071804343</v>
      </c>
      <c r="I5" s="1">
        <v>70.80714265616993</v>
      </c>
      <c r="J5" s="1">
        <v>79.397771984047765</v>
      </c>
      <c r="K5" s="1">
        <v>89.653220428711691</v>
      </c>
      <c r="L5" s="1">
        <v>102.02980327193542</v>
      </c>
      <c r="M5" s="1">
        <v>117.15193281912278</v>
      </c>
      <c r="N5" s="1">
        <v>135.89287838336543</v>
      </c>
      <c r="O5" s="1">
        <v>159.50484154612215</v>
      </c>
      <c r="P5" s="1">
        <v>189.83576989662194</v>
      </c>
      <c r="Q5" s="1">
        <v>229.70522138401481</v>
      </c>
      <c r="S5" s="7" t="s">
        <v>22</v>
      </c>
      <c r="T5" s="8">
        <v>62.6</v>
      </c>
      <c r="U5" s="7">
        <v>78.260000000000005</v>
      </c>
      <c r="V5" s="7">
        <v>106.77</v>
      </c>
      <c r="W5" s="7">
        <v>153.75</v>
      </c>
      <c r="X5" s="7">
        <v>238.13</v>
      </c>
    </row>
    <row r="6" spans="2:24" x14ac:dyDescent="0.25">
      <c r="B6" s="1" t="s">
        <v>2</v>
      </c>
      <c r="C6" s="1">
        <v>1.4</v>
      </c>
      <c r="F6" s="1" t="s">
        <v>7</v>
      </c>
      <c r="G6" s="1">
        <v>133051.52605921644</v>
      </c>
      <c r="H6" s="1">
        <v>132585.00887496024</v>
      </c>
      <c r="I6" s="1">
        <v>131975.33222654188</v>
      </c>
      <c r="J6" s="1">
        <v>131167.0237309454</v>
      </c>
      <c r="K6" s="1">
        <v>130077.43846014728</v>
      </c>
      <c r="L6" s="1">
        <v>128580.98395327538</v>
      </c>
      <c r="M6" s="1">
        <v>126481.59628678391</v>
      </c>
      <c r="N6" s="1">
        <v>123463.63627072446</v>
      </c>
      <c r="O6" s="1">
        <v>119000.62894825015</v>
      </c>
      <c r="P6" s="1">
        <v>112177.50418921013</v>
      </c>
      <c r="Q6" s="1">
        <v>101325</v>
      </c>
      <c r="S6" s="7" t="s">
        <v>23</v>
      </c>
      <c r="T6" s="9">
        <v>132552</v>
      </c>
      <c r="U6" s="9">
        <v>131334</v>
      </c>
      <c r="V6" s="9">
        <v>128213</v>
      </c>
      <c r="W6" s="9">
        <v>120941</v>
      </c>
      <c r="X6" s="9">
        <v>101336</v>
      </c>
    </row>
    <row r="7" spans="2:24" x14ac:dyDescent="0.25">
      <c r="B7" s="1" t="s">
        <v>3</v>
      </c>
      <c r="C7" s="1">
        <v>286.97199999999998</v>
      </c>
      <c r="F7" s="1" t="s">
        <v>13</v>
      </c>
      <c r="G7" s="1">
        <v>1.1850000000000001</v>
      </c>
      <c r="H7" s="1">
        <v>1.1850000000000001</v>
      </c>
      <c r="I7" s="1">
        <v>1.1850000000000001</v>
      </c>
      <c r="J7" s="1">
        <v>1.1850000000000001</v>
      </c>
      <c r="K7" s="1">
        <v>1.1850000000000001</v>
      </c>
      <c r="L7" s="1">
        <v>1.1850000000000001</v>
      </c>
      <c r="M7" s="1">
        <v>1.1850000000000001</v>
      </c>
      <c r="N7" s="1">
        <v>1.1850000000000001</v>
      </c>
      <c r="O7" s="1">
        <v>1.1850000000000001</v>
      </c>
      <c r="P7" s="1">
        <v>1.1850000000000001</v>
      </c>
      <c r="Q7" s="1">
        <v>1.1850000000000001</v>
      </c>
      <c r="S7" s="7" t="s">
        <v>24</v>
      </c>
      <c r="T7" s="6">
        <v>1.375</v>
      </c>
      <c r="U7" s="7"/>
      <c r="V7" s="7"/>
      <c r="W7" s="7"/>
      <c r="X7" s="7"/>
    </row>
    <row r="8" spans="2:24" x14ac:dyDescent="0.25">
      <c r="B8" s="1" t="s">
        <v>4</v>
      </c>
      <c r="C8" s="1">
        <v>1004.4</v>
      </c>
    </row>
    <row r="10" spans="2:24" x14ac:dyDescent="0.25">
      <c r="B10" s="1" t="s">
        <v>5</v>
      </c>
      <c r="C10" s="1">
        <v>135000</v>
      </c>
      <c r="F10" s="1" t="s">
        <v>14</v>
      </c>
      <c r="G10" s="6">
        <f>G4*G7*G13</f>
        <v>1.3663197670643263</v>
      </c>
      <c r="H10" s="6">
        <f>H4*H7*H13</f>
        <v>1.3663230263056276</v>
      </c>
      <c r="I10" s="6">
        <f t="shared" ref="I10:Q10" si="3">I4*I7*I13</f>
        <v>1.3665061703250156</v>
      </c>
      <c r="J10" s="6">
        <f t="shared" si="3"/>
        <v>1.3667709625642646</v>
      </c>
      <c r="K10" s="6">
        <f t="shared" si="3"/>
        <v>1.3670844463740892</v>
      </c>
      <c r="L10" s="6">
        <f t="shared" si="3"/>
        <v>1.3674102353600908</v>
      </c>
      <c r="M10" s="6">
        <f t="shared" si="3"/>
        <v>1.3677115104077038</v>
      </c>
      <c r="N10" s="6">
        <f t="shared" si="3"/>
        <v>1.3679558661344997</v>
      </c>
      <c r="O10" s="6">
        <f t="shared" si="3"/>
        <v>1.3681219499556712</v>
      </c>
      <c r="P10" s="6">
        <f t="shared" si="3"/>
        <v>1.3682067248782557</v>
      </c>
      <c r="Q10" s="6">
        <f t="shared" si="3"/>
        <v>1.368230019724868</v>
      </c>
    </row>
    <row r="11" spans="2:24" x14ac:dyDescent="0.25">
      <c r="B11" s="1" t="s">
        <v>6</v>
      </c>
      <c r="C11" s="1">
        <v>288.16000000000003</v>
      </c>
      <c r="F11" s="1" t="s">
        <v>15</v>
      </c>
      <c r="G11" s="4">
        <f>(G13)*(G10-H10)</f>
        <v>-1.8690489239403838E-4</v>
      </c>
      <c r="H11" s="4">
        <f t="shared" ref="H11:P11" si="4">(H13)*(H10-I10)</f>
        <v>-1.1637259561789848E-2</v>
      </c>
      <c r="I11" s="4">
        <f t="shared" si="4"/>
        <v>-1.8749238494648671E-2</v>
      </c>
      <c r="J11" s="4">
        <f t="shared" si="4"/>
        <v>-2.4889995107935745E-2</v>
      </c>
      <c r="K11" s="4">
        <f t="shared" si="4"/>
        <v>-2.9208117645821374E-2</v>
      </c>
      <c r="L11" s="4">
        <f t="shared" si="4"/>
        <v>-3.0739108389509131E-2</v>
      </c>
      <c r="M11" s="4">
        <f t="shared" si="4"/>
        <v>-2.8626796225165601E-2</v>
      </c>
      <c r="N11" s="4">
        <f t="shared" si="4"/>
        <v>-2.2569633361576115E-2</v>
      </c>
      <c r="O11" s="4">
        <f t="shared" si="4"/>
        <v>-1.3522018157579229E-2</v>
      </c>
      <c r="P11" s="4">
        <f t="shared" si="4"/>
        <v>-4.422196126273043E-3</v>
      </c>
      <c r="Q11" s="4">
        <v>0</v>
      </c>
    </row>
    <row r="12" spans="2:24" x14ac:dyDescent="0.25">
      <c r="B12" s="1" t="s">
        <v>7</v>
      </c>
      <c r="C12" s="1">
        <v>101325</v>
      </c>
    </row>
    <row r="13" spans="2:24" x14ac:dyDescent="0.25">
      <c r="F13" s="1" t="s">
        <v>12</v>
      </c>
      <c r="G13" s="1">
        <f>(H4*H5*H7)/(G4*G7)</f>
        <v>57.346135224803419</v>
      </c>
      <c r="H13" s="1">
        <f>((G6-H6)/H7+G5*H5)^0.5</f>
        <v>63.541575644546448</v>
      </c>
      <c r="I13" s="1">
        <f t="shared" ref="I13:Q13" si="5">((H6-I6)/I7+H5*I5)^0.5</f>
        <v>70.807356544252258</v>
      </c>
      <c r="J13" s="1">
        <f t="shared" si="5"/>
        <v>79.398024165451432</v>
      </c>
      <c r="K13" s="1">
        <f t="shared" si="5"/>
        <v>89.653484006000923</v>
      </c>
      <c r="L13" s="1">
        <f t="shared" si="5"/>
        <v>102.03005072293041</v>
      </c>
      <c r="M13" s="1">
        <f t="shared" si="5"/>
        <v>117.1521396307309</v>
      </c>
      <c r="N13" s="1">
        <f t="shared" si="5"/>
        <v>135.89302800468184</v>
      </c>
      <c r="O13" s="1">
        <f t="shared" si="5"/>
        <v>159.50493076650253</v>
      </c>
      <c r="P13" s="1">
        <f t="shared" si="5"/>
        <v>189.83581218044736</v>
      </c>
      <c r="Q13" s="1">
        <f t="shared" si="5"/>
        <v>229.70524359275763</v>
      </c>
    </row>
    <row r="14" spans="2:24" x14ac:dyDescent="0.25">
      <c r="B14" s="1" t="s">
        <v>8</v>
      </c>
      <c r="C14" s="1">
        <v>1500</v>
      </c>
      <c r="D14">
        <v>1500</v>
      </c>
      <c r="F14" s="1" t="s">
        <v>7</v>
      </c>
      <c r="G14" s="9">
        <f>C10-(G7*G13^2)/2</f>
        <v>133051.51680905631</v>
      </c>
      <c r="H14" s="9">
        <f>H6+H11</f>
        <v>132584.99723770068</v>
      </c>
      <c r="I14" s="9">
        <f t="shared" ref="I14:Q14" si="6">I6+I11</f>
        <v>131975.3134773034</v>
      </c>
      <c r="J14" s="9">
        <f t="shared" si="6"/>
        <v>131166.99884095028</v>
      </c>
      <c r="K14" s="9">
        <f t="shared" si="6"/>
        <v>130077.40925202964</v>
      </c>
      <c r="L14" s="9">
        <f t="shared" si="6"/>
        <v>128580.95321416699</v>
      </c>
      <c r="M14" s="9">
        <f t="shared" si="6"/>
        <v>126481.56765998769</v>
      </c>
      <c r="N14" s="9">
        <f t="shared" si="6"/>
        <v>123463.61370109109</v>
      </c>
      <c r="O14" s="9">
        <f t="shared" si="6"/>
        <v>119000.61542623199</v>
      </c>
      <c r="P14" s="9">
        <f t="shared" si="6"/>
        <v>112177.499767014</v>
      </c>
      <c r="Q14" s="9">
        <f t="shared" si="6"/>
        <v>101325</v>
      </c>
    </row>
    <row r="15" spans="2:24" x14ac:dyDescent="0.25">
      <c r="F15" s="1" t="s">
        <v>13</v>
      </c>
      <c r="G15" s="1">
        <v>1.1850000000000001</v>
      </c>
      <c r="H15" s="1">
        <v>1.1850000000000001</v>
      </c>
      <c r="I15" s="1">
        <v>1.1850000000000001</v>
      </c>
      <c r="J15" s="1">
        <v>1.1850000000000001</v>
      </c>
      <c r="K15" s="1">
        <v>1.1850000000000001</v>
      </c>
      <c r="L15" s="1">
        <v>1.1850000000000001</v>
      </c>
      <c r="M15" s="1">
        <v>1.1850000000000001</v>
      </c>
      <c r="N15" s="1">
        <v>1.1850000000000001</v>
      </c>
      <c r="O15" s="1">
        <v>1.1850000000000001</v>
      </c>
      <c r="P15" s="1">
        <v>1.1850000000000001</v>
      </c>
      <c r="Q15" s="1">
        <v>1.1850000000000001</v>
      </c>
    </row>
    <row r="17" spans="6:24" x14ac:dyDescent="0.25">
      <c r="F17" s="1" t="s">
        <v>16</v>
      </c>
      <c r="G17" s="7">
        <f>$C$11-(G13^2)/(2*$C$8)</f>
        <v>286.52291356769149</v>
      </c>
      <c r="H17" s="7">
        <f t="shared" ref="H17:Q17" si="7">$C$11-(H13^2)/(2*$C$8)</f>
        <v>286.15007774024713</v>
      </c>
      <c r="I17" s="7">
        <f t="shared" si="7"/>
        <v>285.66414090960535</v>
      </c>
      <c r="J17" s="7">
        <f t="shared" si="7"/>
        <v>285.02178502520036</v>
      </c>
      <c r="K17" s="7">
        <f t="shared" si="7"/>
        <v>284.1587319820718</v>
      </c>
      <c r="L17" s="7">
        <f t="shared" si="7"/>
        <v>282.97773633486474</v>
      </c>
      <c r="M17" s="7">
        <f t="shared" si="7"/>
        <v>281.32774999001481</v>
      </c>
      <c r="N17" s="7">
        <f t="shared" si="7"/>
        <v>278.96699170635145</v>
      </c>
      <c r="O17" s="7">
        <f t="shared" si="7"/>
        <v>275.49481534307711</v>
      </c>
      <c r="P17" s="7">
        <f t="shared" si="7"/>
        <v>270.2201176890631</v>
      </c>
      <c r="Q17" s="7">
        <f t="shared" si="7"/>
        <v>261.89332390780163</v>
      </c>
    </row>
    <row r="18" spans="6:24" x14ac:dyDescent="0.25">
      <c r="F18" s="1" t="s">
        <v>17</v>
      </c>
      <c r="G18" s="8">
        <f>SQRT($C$6*$C$7*G17)</f>
        <v>339.2840623626264</v>
      </c>
      <c r="H18" s="8">
        <f t="shared" ref="H18:Q18" si="8">SQRT($C$6*$C$7*H17)</f>
        <v>339.06324506348938</v>
      </c>
      <c r="I18" s="8">
        <f t="shared" si="8"/>
        <v>338.7752260469407</v>
      </c>
      <c r="J18" s="8">
        <f t="shared" si="8"/>
        <v>338.39411987969368</v>
      </c>
      <c r="K18" s="8">
        <f t="shared" si="8"/>
        <v>337.88139855295782</v>
      </c>
      <c r="L18" s="8">
        <f t="shared" si="8"/>
        <v>337.17853094775222</v>
      </c>
      <c r="M18" s="8">
        <f t="shared" si="8"/>
        <v>336.19408367517167</v>
      </c>
      <c r="N18" s="8">
        <f t="shared" si="8"/>
        <v>334.78052775144664</v>
      </c>
      <c r="O18" s="8">
        <f t="shared" si="8"/>
        <v>332.69057306765836</v>
      </c>
      <c r="P18" s="8">
        <f t="shared" si="8"/>
        <v>329.49028917230947</v>
      </c>
      <c r="Q18" s="8">
        <f t="shared" si="8"/>
        <v>324.3739683264634</v>
      </c>
    </row>
    <row r="19" spans="6:24" x14ac:dyDescent="0.25">
      <c r="F19" s="1" t="s">
        <v>18</v>
      </c>
      <c r="G19" s="5">
        <f>G13/G18</f>
        <v>0.1690210109648827</v>
      </c>
      <c r="H19" s="5">
        <f t="shared" ref="H19:Q19" si="9">H13/H18</f>
        <v>0.18740331359905532</v>
      </c>
      <c r="I19" s="5">
        <f t="shared" si="9"/>
        <v>0.20900984222040248</v>
      </c>
      <c r="J19" s="5">
        <f t="shared" si="9"/>
        <v>0.23463180800446273</v>
      </c>
      <c r="K19" s="5">
        <f t="shared" si="9"/>
        <v>0.26534009978045325</v>
      </c>
      <c r="L19" s="5">
        <f t="shared" si="9"/>
        <v>0.30259948768428724</v>
      </c>
      <c r="M19" s="5">
        <f t="shared" si="9"/>
        <v>0.34846579794046129</v>
      </c>
      <c r="N19" s="5">
        <f t="shared" si="9"/>
        <v>0.40591676259490761</v>
      </c>
      <c r="O19" s="5">
        <f t="shared" si="9"/>
        <v>0.47943928586778578</v>
      </c>
      <c r="P19" s="5">
        <f t="shared" si="9"/>
        <v>0.57614994559421229</v>
      </c>
      <c r="Q19" s="5">
        <f t="shared" si="9"/>
        <v>0.70814943867990277</v>
      </c>
    </row>
    <row r="20" spans="6:24" x14ac:dyDescent="0.25">
      <c r="F20" s="2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6:24" x14ac:dyDescent="0.25">
      <c r="F21" s="2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S21" s="3"/>
      <c r="T21" s="3"/>
      <c r="U21" s="3"/>
      <c r="V21" s="3"/>
      <c r="W21" s="3"/>
      <c r="X21" s="3"/>
    </row>
    <row r="22" spans="6:24" x14ac:dyDescent="0.25">
      <c r="F22" s="2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S22" s="3"/>
      <c r="T22" s="3"/>
      <c r="U22" s="3"/>
      <c r="V22" s="3"/>
      <c r="W22" s="3"/>
      <c r="X22" s="3"/>
    </row>
    <row r="23" spans="6:24" x14ac:dyDescent="0.25">
      <c r="F23" s="2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S23" s="3"/>
      <c r="T23" s="3"/>
      <c r="U23" s="3"/>
      <c r="V23" s="3"/>
      <c r="W23" s="3"/>
      <c r="X23" s="3"/>
    </row>
    <row r="24" spans="6:24" x14ac:dyDescent="0.25">
      <c r="S24" s="3"/>
      <c r="T24" s="3"/>
      <c r="U24" s="3"/>
      <c r="V24" s="3"/>
      <c r="W24" s="3"/>
      <c r="X24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0</xdr:colOff>
                    <xdr:row>15</xdr:row>
                    <xdr:rowOff>133350</xdr:rowOff>
                  </from>
                  <to>
                    <xdr:col>3</xdr:col>
                    <xdr:colOff>361950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X24"/>
  <sheetViews>
    <sheetView zoomScale="70" zoomScaleNormal="70" workbookViewId="0">
      <selection activeCell="S3" sqref="S3:X6"/>
    </sheetView>
  </sheetViews>
  <sheetFormatPr defaultRowHeight="15" x14ac:dyDescent="0.25"/>
  <cols>
    <col min="7" max="7" width="9.7109375" bestFit="1" customWidth="1"/>
    <col min="8" max="17" width="9.5703125" bestFit="1" customWidth="1"/>
  </cols>
  <sheetData>
    <row r="1" spans="2:24" x14ac:dyDescent="0.25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24" x14ac:dyDescent="0.25">
      <c r="F2" s="1" t="s">
        <v>10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24" x14ac:dyDescent="0.25">
      <c r="B3" s="1" t="s">
        <v>0</v>
      </c>
      <c r="C3" s="1">
        <v>0.1</v>
      </c>
      <c r="F3" s="1" t="s">
        <v>3</v>
      </c>
      <c r="G3" s="11">
        <v>0.08</v>
      </c>
      <c r="H3" s="11">
        <f>G3+($Q$3-$G$3)/10</f>
        <v>7.5999999999999998E-2</v>
      </c>
      <c r="I3" s="11">
        <f t="shared" ref="I3:P3" si="1">H3+($Q$3-$G$3)/10</f>
        <v>7.1999999999999995E-2</v>
      </c>
      <c r="J3" s="11">
        <f t="shared" si="1"/>
        <v>6.7999999999999991E-2</v>
      </c>
      <c r="K3" s="11">
        <f t="shared" si="1"/>
        <v>6.3999999999999987E-2</v>
      </c>
      <c r="L3" s="11">
        <f t="shared" si="1"/>
        <v>5.9999999999999984E-2</v>
      </c>
      <c r="M3" s="11">
        <f t="shared" si="1"/>
        <v>5.599999999999998E-2</v>
      </c>
      <c r="N3" s="11">
        <f t="shared" si="1"/>
        <v>5.1999999999999977E-2</v>
      </c>
      <c r="O3" s="11">
        <f t="shared" si="1"/>
        <v>4.7999999999999973E-2</v>
      </c>
      <c r="P3" s="11">
        <f t="shared" si="1"/>
        <v>4.399999999999997E-2</v>
      </c>
      <c r="Q3" s="11">
        <v>0.04</v>
      </c>
      <c r="S3" s="11"/>
      <c r="T3" s="11">
        <v>0</v>
      </c>
      <c r="U3" s="11">
        <v>2.5000000000000001E-2</v>
      </c>
      <c r="V3" s="11">
        <v>0.05</v>
      </c>
      <c r="W3" s="11">
        <v>7.4999999999999997E-2</v>
      </c>
      <c r="X3" s="11">
        <v>0.1</v>
      </c>
    </row>
    <row r="4" spans="2:24" x14ac:dyDescent="0.25">
      <c r="B4" s="1" t="s">
        <v>1</v>
      </c>
      <c r="C4" s="1">
        <f>C3/10</f>
        <v>0.01</v>
      </c>
      <c r="F4" s="1" t="s">
        <v>11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  <c r="S4" s="11" t="s">
        <v>22</v>
      </c>
      <c r="T4" s="11">
        <v>46.31</v>
      </c>
      <c r="U4" s="11">
        <v>58.19</v>
      </c>
      <c r="V4" s="11">
        <v>80.48</v>
      </c>
      <c r="W4" s="11">
        <v>120.03</v>
      </c>
      <c r="X4" s="11">
        <v>213.26</v>
      </c>
    </row>
    <row r="5" spans="2:24" x14ac:dyDescent="0.25">
      <c r="F5" s="1" t="s">
        <v>12</v>
      </c>
      <c r="G5" s="11">
        <v>41.952458170366562</v>
      </c>
      <c r="H5" s="11">
        <v>46.572722315258261</v>
      </c>
      <c r="I5" s="11">
        <v>51.998998595347025</v>
      </c>
      <c r="J5" s="11">
        <v>58.481574269464545</v>
      </c>
      <c r="K5" s="11">
        <v>66.327200919066215</v>
      </c>
      <c r="L5" s="11">
        <v>75.973877099938278</v>
      </c>
      <c r="M5" s="11">
        <v>88.075946290190913</v>
      </c>
      <c r="N5" s="11">
        <v>103.67585204999334</v>
      </c>
      <c r="O5" s="11">
        <v>124.60693830892183</v>
      </c>
      <c r="P5" s="11">
        <v>154.70189233611086</v>
      </c>
      <c r="Q5" s="11">
        <v>205.86732315098098</v>
      </c>
      <c r="S5" s="11" t="s">
        <v>23</v>
      </c>
      <c r="T5" s="11">
        <v>133165</v>
      </c>
      <c r="U5" s="11">
        <v>132230</v>
      </c>
      <c r="V5" s="11">
        <v>129765</v>
      </c>
      <c r="W5" s="11">
        <v>123565</v>
      </c>
      <c r="X5" s="11">
        <v>101336</v>
      </c>
    </row>
    <row r="6" spans="2:24" x14ac:dyDescent="0.25">
      <c r="B6" s="1" t="s">
        <v>2</v>
      </c>
      <c r="C6" s="1">
        <v>1.4</v>
      </c>
      <c r="F6" s="1" t="s">
        <v>7</v>
      </c>
      <c r="G6" s="11">
        <v>133574.20645422692</v>
      </c>
      <c r="H6" s="11">
        <v>133226.28716879166</v>
      </c>
      <c r="I6" s="11">
        <v>132771.1614403399</v>
      </c>
      <c r="J6" s="11">
        <v>132161.66801093385</v>
      </c>
      <c r="K6" s="11">
        <v>131328.88571868328</v>
      </c>
      <c r="L6" s="11">
        <v>130163.60851596277</v>
      </c>
      <c r="M6" s="11">
        <v>128484.90473201471</v>
      </c>
      <c r="N6" s="11">
        <v>125974.38540805619</v>
      </c>
      <c r="O6" s="11">
        <v>122019.7344116298</v>
      </c>
      <c r="P6" s="11">
        <v>115251.08218729163</v>
      </c>
      <c r="Q6" s="11">
        <v>101325</v>
      </c>
      <c r="S6" s="11" t="s">
        <v>24</v>
      </c>
      <c r="T6" s="11">
        <v>1.387</v>
      </c>
      <c r="U6" s="11"/>
      <c r="V6" s="11"/>
      <c r="W6" s="11"/>
      <c r="X6" s="11"/>
    </row>
    <row r="7" spans="2:24" x14ac:dyDescent="0.25">
      <c r="B7" s="1" t="s">
        <v>3</v>
      </c>
      <c r="C7" s="1">
        <v>286.97199999999998</v>
      </c>
      <c r="F7" s="1" t="s">
        <v>13</v>
      </c>
      <c r="G7" s="11">
        <v>1.6202120766536134</v>
      </c>
      <c r="H7" s="11">
        <v>1.617138055023114</v>
      </c>
      <c r="I7" s="11">
        <v>1.6131097716441272</v>
      </c>
      <c r="J7" s="11">
        <v>1.6077031930153689</v>
      </c>
      <c r="K7" s="11">
        <v>1.6002958497504662</v>
      </c>
      <c r="L7" s="11">
        <v>1.5898957190694107</v>
      </c>
      <c r="M7" s="11">
        <v>1.5748467970151123</v>
      </c>
      <c r="N7" s="11">
        <v>1.5522053888257903</v>
      </c>
      <c r="O7" s="11">
        <v>1.5162304142338905</v>
      </c>
      <c r="P7" s="11">
        <v>1.4538157117758432</v>
      </c>
      <c r="Q7" s="11">
        <v>1.3221013290732198</v>
      </c>
    </row>
    <row r="8" spans="2:24" x14ac:dyDescent="0.25">
      <c r="B8" s="1" t="s">
        <v>4</v>
      </c>
      <c r="C8" s="1">
        <v>1004.4</v>
      </c>
    </row>
    <row r="10" spans="2:24" x14ac:dyDescent="0.25">
      <c r="B10" s="1" t="s">
        <v>5</v>
      </c>
      <c r="C10" s="1">
        <v>135000</v>
      </c>
      <c r="F10" s="1" t="s">
        <v>14</v>
      </c>
      <c r="G10" s="10">
        <f t="shared" ref="G10:Q10" si="3">G4*G7*G13</f>
        <v>1.366645195577177</v>
      </c>
      <c r="H10" s="10">
        <f t="shared" si="3"/>
        <v>1.3666347344859844</v>
      </c>
      <c r="I10" s="10">
        <f t="shared" si="3"/>
        <v>1.3660677312876293</v>
      </c>
      <c r="J10" s="10">
        <f t="shared" si="3"/>
        <v>1.3658167470418781</v>
      </c>
      <c r="K10" s="10">
        <f t="shared" si="3"/>
        <v>1.3658483209918184</v>
      </c>
      <c r="L10" s="10">
        <f t="shared" si="3"/>
        <v>1.3661125638138347</v>
      </c>
      <c r="M10" s="10">
        <f t="shared" si="3"/>
        <v>1.3665415729811596</v>
      </c>
      <c r="N10" s="10">
        <f t="shared" si="3"/>
        <v>1.3670502324775375</v>
      </c>
      <c r="O10" s="10">
        <f t="shared" si="3"/>
        <v>1.3675415476349411</v>
      </c>
      <c r="P10" s="10">
        <f t="shared" si="3"/>
        <v>1.3679195404148627</v>
      </c>
      <c r="Q10" s="10">
        <f t="shared" si="3"/>
        <v>1.3681132042596771</v>
      </c>
    </row>
    <row r="11" spans="2:24" x14ac:dyDescent="0.25">
      <c r="B11" s="1" t="s">
        <v>6</v>
      </c>
      <c r="C11" s="1">
        <v>288.16000000000003</v>
      </c>
      <c r="F11" s="1" t="s">
        <v>15</v>
      </c>
      <c r="G11" s="12">
        <v>0</v>
      </c>
      <c r="H11" s="12">
        <f>(H13)*(H10-I10)</f>
        <v>2.6406680375334817E-2</v>
      </c>
      <c r="I11" s="12">
        <f t="shared" ref="I11:P11" si="4">(I13)*(I10-J10)</f>
        <v>1.3050883318935809E-2</v>
      </c>
      <c r="J11" s="12">
        <f t="shared" si="4"/>
        <v>-1.8464934745265399E-3</v>
      </c>
      <c r="K11" s="12">
        <f t="shared" si="4"/>
        <v>-1.7526515140232776E-2</v>
      </c>
      <c r="L11" s="12">
        <f t="shared" si="4"/>
        <v>-3.2593578471585345E-2</v>
      </c>
      <c r="M11" s="12">
        <f t="shared" si="4"/>
        <v>-4.4800799783623488E-2</v>
      </c>
      <c r="N11" s="12">
        <f t="shared" si="4"/>
        <v>-5.0937648111299527E-2</v>
      </c>
      <c r="O11" s="12">
        <f t="shared" si="4"/>
        <v>-4.7100604677384694E-2</v>
      </c>
      <c r="P11" s="12">
        <f t="shared" si="4"/>
        <v>-2.9960186970414304E-2</v>
      </c>
      <c r="Q11" s="11">
        <v>0</v>
      </c>
    </row>
    <row r="12" spans="2:24" x14ac:dyDescent="0.25">
      <c r="B12" s="1" t="s">
        <v>7</v>
      </c>
      <c r="C12" s="1">
        <v>101325</v>
      </c>
      <c r="Q12" s="16"/>
    </row>
    <row r="13" spans="2:24" x14ac:dyDescent="0.25">
      <c r="F13" s="1" t="s">
        <v>12</v>
      </c>
      <c r="G13" s="11">
        <f>(H4*H5*H7)/(G4*G7)</f>
        <v>41.952134974927866</v>
      </c>
      <c r="H13" s="13">
        <f t="shared" ref="H13:Q13" si="5">((G6-H6)/H7+G5*H5)^0.5</f>
        <v>46.572365820758591</v>
      </c>
      <c r="I13" s="13">
        <f t="shared" si="5"/>
        <v>51.99881482550407</v>
      </c>
      <c r="J13" s="13">
        <f t="shared" si="5"/>
        <v>58.481548175462336</v>
      </c>
      <c r="K13" s="13">
        <f t="shared" si="5"/>
        <v>66.327308369234387</v>
      </c>
      <c r="L13" s="13">
        <f t="shared" si="5"/>
        <v>75.974083898539305</v>
      </c>
      <c r="M13" s="13">
        <f t="shared" si="5"/>
        <v>88.076208352825077</v>
      </c>
      <c r="N13" s="13">
        <f t="shared" si="5"/>
        <v>103.67611774994239</v>
      </c>
      <c r="O13" s="13">
        <f t="shared" si="5"/>
        <v>124.60715436719285</v>
      </c>
      <c r="P13" s="13">
        <f t="shared" si="5"/>
        <v>154.70201471594376</v>
      </c>
      <c r="Q13" s="13">
        <f t="shared" si="5"/>
        <v>205.86733253631789</v>
      </c>
    </row>
    <row r="14" spans="2:24" x14ac:dyDescent="0.25">
      <c r="B14" s="1" t="s">
        <v>8</v>
      </c>
      <c r="C14" s="1">
        <v>1500</v>
      </c>
      <c r="D14">
        <v>1500</v>
      </c>
      <c r="F14" s="1" t="s">
        <v>7</v>
      </c>
      <c r="G14" s="14">
        <f>C10-(G7*G13^2)/2</f>
        <v>133574.22825503966</v>
      </c>
      <c r="H14" s="14">
        <f>H6+H11</f>
        <v>133226.31357547204</v>
      </c>
      <c r="I14" s="14">
        <f t="shared" ref="I14:Q14" si="6">I6+I11</f>
        <v>132771.17449122321</v>
      </c>
      <c r="J14" s="14">
        <f t="shared" si="6"/>
        <v>132161.66616444036</v>
      </c>
      <c r="K14" s="14">
        <f t="shared" si="6"/>
        <v>131328.86819216813</v>
      </c>
      <c r="L14" s="14">
        <f t="shared" si="6"/>
        <v>130163.57592238429</v>
      </c>
      <c r="M14" s="14">
        <f t="shared" si="6"/>
        <v>128484.85993121493</v>
      </c>
      <c r="N14" s="14">
        <f t="shared" si="6"/>
        <v>125974.33447040808</v>
      </c>
      <c r="O14" s="14">
        <f t="shared" si="6"/>
        <v>122019.68731102513</v>
      </c>
      <c r="P14" s="14">
        <f t="shared" si="6"/>
        <v>115251.05222710465</v>
      </c>
      <c r="Q14" s="14">
        <f t="shared" si="6"/>
        <v>101325</v>
      </c>
    </row>
    <row r="15" spans="2:24" x14ac:dyDescent="0.25">
      <c r="F15" s="1" t="s">
        <v>13</v>
      </c>
      <c r="G15" s="10">
        <f>G14/($C$7*G17)</f>
        <v>1.6202122649570925</v>
      </c>
      <c r="H15" s="10">
        <f t="shared" ref="H15:Q15" si="7">H14/($C$7*H17)</f>
        <v>1.6171382824397458</v>
      </c>
      <c r="I15" s="10">
        <f t="shared" si="7"/>
        <v>1.613109876697655</v>
      </c>
      <c r="J15" s="10">
        <f t="shared" si="7"/>
        <v>1.6077031620263356</v>
      </c>
      <c r="K15" s="10">
        <f t="shared" si="7"/>
        <v>1.6002956758902236</v>
      </c>
      <c r="L15" s="10">
        <f t="shared" si="7"/>
        <v>1.5898954081272527</v>
      </c>
      <c r="M15" s="10">
        <f t="shared" si="7"/>
        <v>1.5748463751867776</v>
      </c>
      <c r="N15" s="10">
        <f t="shared" si="7"/>
        <v>1.5522049117211103</v>
      </c>
      <c r="O15" s="10">
        <f t="shared" si="7"/>
        <v>1.5162299738827569</v>
      </c>
      <c r="P15" s="10">
        <f t="shared" si="7"/>
        <v>1.453815433048117</v>
      </c>
      <c r="Q15" s="10">
        <f t="shared" si="7"/>
        <v>1.3221013385964215</v>
      </c>
    </row>
    <row r="17" spans="6:24" x14ac:dyDescent="0.25">
      <c r="F17" s="1" t="s">
        <v>16</v>
      </c>
      <c r="G17" s="13">
        <f>$C$11-(G13^2)/(2*$C$8)</f>
        <v>287.28386418311703</v>
      </c>
      <c r="H17" s="13">
        <f t="shared" ref="H17:Q17" si="8">$C$11-(H13^2)/(2*$C$8)</f>
        <v>287.08025823469609</v>
      </c>
      <c r="I17" s="13">
        <f t="shared" si="8"/>
        <v>286.81398409833878</v>
      </c>
      <c r="J17" s="13">
        <f t="shared" si="8"/>
        <v>286.45744550129484</v>
      </c>
      <c r="K17" s="13">
        <f t="shared" si="8"/>
        <v>285.96998016950045</v>
      </c>
      <c r="L17" s="13">
        <f t="shared" si="8"/>
        <v>285.28661219423424</v>
      </c>
      <c r="M17" s="13">
        <f t="shared" si="8"/>
        <v>284.29828231889178</v>
      </c>
      <c r="N17" s="13">
        <f t="shared" si="8"/>
        <v>282.80917493443854</v>
      </c>
      <c r="O17" s="13">
        <f t="shared" si="8"/>
        <v>280.43053817229719</v>
      </c>
      <c r="P17" s="13">
        <f t="shared" si="8"/>
        <v>276.24606463701116</v>
      </c>
      <c r="Q17" s="13">
        <f t="shared" si="8"/>
        <v>267.06215123177077</v>
      </c>
    </row>
    <row r="18" spans="6:24" x14ac:dyDescent="0.25">
      <c r="F18" s="1" t="s">
        <v>17</v>
      </c>
      <c r="G18" s="15">
        <f>SQRT($C$6*$C$7*G17)</f>
        <v>339.7343007429489</v>
      </c>
      <c r="H18" s="15">
        <f t="shared" ref="H18:Q18" si="9">SQRT($C$6*$C$7*H17)</f>
        <v>339.61388989936506</v>
      </c>
      <c r="I18" s="15">
        <f t="shared" si="9"/>
        <v>339.45635316272381</v>
      </c>
      <c r="J18" s="15">
        <f t="shared" si="9"/>
        <v>339.24529837649425</v>
      </c>
      <c r="K18" s="15">
        <f t="shared" si="9"/>
        <v>338.95652819924067</v>
      </c>
      <c r="L18" s="15">
        <f t="shared" si="9"/>
        <v>338.55129233905649</v>
      </c>
      <c r="M18" s="15">
        <f t="shared" si="9"/>
        <v>337.96435513684548</v>
      </c>
      <c r="N18" s="15">
        <f t="shared" si="9"/>
        <v>337.07809238958259</v>
      </c>
      <c r="O18" s="15">
        <f t="shared" si="9"/>
        <v>335.65755966540161</v>
      </c>
      <c r="P18" s="15">
        <f t="shared" si="9"/>
        <v>333.14387271180198</v>
      </c>
      <c r="Q18" s="15">
        <f t="shared" si="9"/>
        <v>327.55931299323061</v>
      </c>
    </row>
    <row r="19" spans="6:24" x14ac:dyDescent="0.25">
      <c r="F19" s="1" t="s">
        <v>18</v>
      </c>
      <c r="G19" s="12">
        <f>G13/G18</f>
        <v>0.12348513200811552</v>
      </c>
      <c r="H19" s="12">
        <f t="shared" ref="H19:Q19" si="10">H13/H18</f>
        <v>0.13713327754220828</v>
      </c>
      <c r="I19" s="12">
        <f t="shared" si="10"/>
        <v>0.15318262374832503</v>
      </c>
      <c r="J19" s="12">
        <f t="shared" si="10"/>
        <v>0.17238720316931128</v>
      </c>
      <c r="K19" s="12">
        <f t="shared" si="10"/>
        <v>0.19568087011513996</v>
      </c>
      <c r="L19" s="12">
        <f t="shared" si="10"/>
        <v>0.22440937493882568</v>
      </c>
      <c r="M19" s="12">
        <f t="shared" si="10"/>
        <v>0.260607981327386</v>
      </c>
      <c r="N19" s="12">
        <f t="shared" si="10"/>
        <v>0.3075729929968789</v>
      </c>
      <c r="O19" s="12">
        <f t="shared" si="10"/>
        <v>0.37123297473593864</v>
      </c>
      <c r="P19" s="12">
        <f t="shared" si="10"/>
        <v>0.46436998362498555</v>
      </c>
      <c r="Q19" s="12">
        <f t="shared" si="10"/>
        <v>0.62848871752448809</v>
      </c>
    </row>
    <row r="20" spans="6:24" x14ac:dyDescent="0.25">
      <c r="F20" s="11" t="s">
        <v>19</v>
      </c>
      <c r="G20" s="11">
        <f>1-((($C$6-1)/($C$6+1))*G21^2)</f>
        <v>0.99704053956027028</v>
      </c>
      <c r="H20" s="11">
        <f t="shared" ref="H20:Q20" si="11">1-((($C$6-1)/($C$6+1))*H21^2)</f>
        <v>0.99637522452798677</v>
      </c>
      <c r="I20" s="11">
        <f t="shared" si="11"/>
        <v>0.99551738512144528</v>
      </c>
      <c r="J20" s="11">
        <f t="shared" si="11"/>
        <v>0.99438996137486713</v>
      </c>
      <c r="K20" s="11">
        <f t="shared" si="11"/>
        <v>0.99288656085264948</v>
      </c>
      <c r="L20" s="11">
        <f t="shared" si="11"/>
        <v>0.99084969708373349</v>
      </c>
      <c r="M20" s="11">
        <f t="shared" si="11"/>
        <v>0.98804110858762784</v>
      </c>
      <c r="N20" s="11">
        <f t="shared" si="11"/>
        <v>0.98408998256156943</v>
      </c>
      <c r="O20" s="11">
        <f t="shared" si="11"/>
        <v>0.97839276991627533</v>
      </c>
      <c r="P20" s="11">
        <f t="shared" si="11"/>
        <v>0.96986758176308718</v>
      </c>
      <c r="Q20" s="11">
        <f t="shared" si="11"/>
        <v>0.95586604237998785</v>
      </c>
    </row>
    <row r="21" spans="6:24" x14ac:dyDescent="0.25">
      <c r="F21" s="11" t="s">
        <v>20</v>
      </c>
      <c r="G21" s="11">
        <f>SQRT(((($C$6+1)/2)*G19^2)/(1+2*G19^2))</f>
        <v>0.13325450325740634</v>
      </c>
      <c r="H21" s="11">
        <f>SQRT(((($C$6+1)/2)*H19^2)/(1+2*H19^2))</f>
        <v>0.14747424463979894</v>
      </c>
      <c r="I21" s="11">
        <f t="shared" ref="I21:Q21" si="12">SQRT(((($C$6+1)/2)*I19^2)/(1+2*I19^2))</f>
        <v>0.1639990526537525</v>
      </c>
      <c r="J21" s="11">
        <f t="shared" si="12"/>
        <v>0.18346724980442006</v>
      </c>
      <c r="K21" s="11">
        <f t="shared" si="12"/>
        <v>0.20659292070180635</v>
      </c>
      <c r="L21" s="11">
        <f t="shared" si="12"/>
        <v>0.23431136869046568</v>
      </c>
      <c r="M21" s="11">
        <f t="shared" si="12"/>
        <v>0.2678681550207731</v>
      </c>
      <c r="N21" s="11">
        <f t="shared" si="12"/>
        <v>0.30896618687258187</v>
      </c>
      <c r="O21" s="11">
        <f t="shared" si="12"/>
        <v>0.36006024565667927</v>
      </c>
      <c r="P21" s="11">
        <f t="shared" si="12"/>
        <v>0.42519937608312292</v>
      </c>
      <c r="Q21" s="11">
        <f t="shared" si="12"/>
        <v>0.51459085273649507</v>
      </c>
      <c r="S21" s="3"/>
      <c r="T21" s="3"/>
      <c r="U21" s="3"/>
      <c r="V21" s="3"/>
      <c r="W21" s="3"/>
      <c r="X21" s="3"/>
    </row>
    <row r="22" spans="6:24" x14ac:dyDescent="0.25">
      <c r="F22" s="11" t="s">
        <v>21</v>
      </c>
      <c r="G22" s="11">
        <f>(1-((($C$6-1)/($C$6+1))*G21^2))^($C$6/($C$6-1))</f>
        <v>0.98968014980824814</v>
      </c>
      <c r="H22" s="11">
        <f t="shared" ref="H22:Q22" si="13">(1-((($C$6-1)/($C$6+1))*H21^2))^($C$6/($C$6-1))</f>
        <v>0.98737066482633495</v>
      </c>
      <c r="I22" s="11">
        <f t="shared" si="13"/>
        <v>0.98439856153413363</v>
      </c>
      <c r="J22" s="11">
        <f t="shared" si="13"/>
        <v>0.98050217118689553</v>
      </c>
      <c r="K22" s="11">
        <f t="shared" si="13"/>
        <v>0.97532355574748653</v>
      </c>
      <c r="L22" s="11">
        <f t="shared" si="13"/>
        <v>0.96833857597726203</v>
      </c>
      <c r="M22" s="11">
        <f t="shared" si="13"/>
        <v>0.95876583536247673</v>
      </c>
      <c r="N22" s="11">
        <f t="shared" si="13"/>
        <v>0.94541358470102099</v>
      </c>
      <c r="O22" s="11">
        <f t="shared" si="13"/>
        <v>0.92639525404761391</v>
      </c>
      <c r="P22" s="11">
        <f t="shared" si="13"/>
        <v>0.89844925072464876</v>
      </c>
      <c r="Q22" s="11">
        <f t="shared" si="13"/>
        <v>0.85386579544090735</v>
      </c>
      <c r="S22" s="3"/>
      <c r="T22" s="3"/>
      <c r="U22" s="3"/>
      <c r="V22" s="3"/>
      <c r="W22" s="3"/>
      <c r="X22" s="3"/>
    </row>
    <row r="23" spans="6:24" x14ac:dyDescent="0.25">
      <c r="F23" s="11" t="s">
        <v>5</v>
      </c>
      <c r="G23" s="11">
        <f>G14/G22</f>
        <v>134967.06817947177</v>
      </c>
      <c r="H23" s="11">
        <f t="shared" ref="H23:Q23" si="14">H14/H22</f>
        <v>134930.39475596001</v>
      </c>
      <c r="I23" s="11">
        <f t="shared" si="14"/>
        <v>134875.42513705656</v>
      </c>
      <c r="J23" s="11">
        <f t="shared" si="14"/>
        <v>134789.77410571053</v>
      </c>
      <c r="K23" s="11">
        <f t="shared" si="14"/>
        <v>134651.5906626677</v>
      </c>
      <c r="L23" s="11">
        <f t="shared" si="14"/>
        <v>134419.48833962463</v>
      </c>
      <c r="M23" s="11">
        <f t="shared" si="14"/>
        <v>134010.67830357052</v>
      </c>
      <c r="N23" s="11">
        <f t="shared" si="14"/>
        <v>133247.85734938047</v>
      </c>
      <c r="O23" s="11">
        <f t="shared" si="14"/>
        <v>131714.4995917193</v>
      </c>
      <c r="P23" s="11">
        <f t="shared" si="14"/>
        <v>128277.7542906829</v>
      </c>
      <c r="Q23" s="11">
        <f t="shared" si="14"/>
        <v>118666.18916111893</v>
      </c>
      <c r="S23" s="3"/>
      <c r="T23" s="3"/>
      <c r="U23" s="3"/>
      <c r="V23" s="3"/>
      <c r="W23" s="3"/>
      <c r="X23" s="3"/>
    </row>
    <row r="24" spans="6:24" x14ac:dyDescent="0.25">
      <c r="S24" s="3"/>
      <c r="T24" s="3"/>
      <c r="U24" s="3"/>
      <c r="V24" s="3"/>
      <c r="W24" s="3"/>
      <c r="X24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0</xdr:colOff>
                    <xdr:row>15</xdr:row>
                    <xdr:rowOff>133350</xdr:rowOff>
                  </from>
                  <to>
                    <xdr:col>3</xdr:col>
                    <xdr:colOff>361950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X24"/>
  <sheetViews>
    <sheetView zoomScale="70" zoomScaleNormal="70" workbookViewId="0">
      <selection activeCell="U15" sqref="U15"/>
    </sheetView>
  </sheetViews>
  <sheetFormatPr defaultRowHeight="15" x14ac:dyDescent="0.25"/>
  <cols>
    <col min="7" max="7" width="9.7109375" bestFit="1" customWidth="1"/>
    <col min="8" max="17" width="9.5703125" bestFit="1" customWidth="1"/>
  </cols>
  <sheetData>
    <row r="1" spans="2:17" x14ac:dyDescent="0.25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 x14ac:dyDescent="0.25">
      <c r="F2" s="1" t="s">
        <v>10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1" t="s">
        <v>0</v>
      </c>
      <c r="C3" s="1">
        <v>0.1</v>
      </c>
      <c r="F3" s="1" t="s">
        <v>3</v>
      </c>
      <c r="G3" s="11">
        <v>0.08</v>
      </c>
      <c r="H3" s="11">
        <f>G3+($Q$3-$G$3)/10</f>
        <v>7.5999999999999998E-2</v>
      </c>
      <c r="I3" s="11">
        <f t="shared" ref="I3:P3" si="1">H3+($Q$3-$G$3)/10</f>
        <v>7.1999999999999995E-2</v>
      </c>
      <c r="J3" s="11">
        <f t="shared" si="1"/>
        <v>6.7999999999999991E-2</v>
      </c>
      <c r="K3" s="11">
        <f t="shared" si="1"/>
        <v>6.3999999999999987E-2</v>
      </c>
      <c r="L3" s="11">
        <f t="shared" si="1"/>
        <v>5.9999999999999984E-2</v>
      </c>
      <c r="M3" s="11">
        <f t="shared" si="1"/>
        <v>5.599999999999998E-2</v>
      </c>
      <c r="N3" s="11">
        <f t="shared" si="1"/>
        <v>5.1999999999999977E-2</v>
      </c>
      <c r="O3" s="11">
        <f t="shared" si="1"/>
        <v>4.7999999999999973E-2</v>
      </c>
      <c r="P3" s="11">
        <f t="shared" si="1"/>
        <v>4.399999999999997E-2</v>
      </c>
      <c r="Q3" s="11">
        <v>0.04</v>
      </c>
    </row>
    <row r="4" spans="2:17" x14ac:dyDescent="0.25">
      <c r="B4" s="1" t="s">
        <v>1</v>
      </c>
      <c r="C4" s="1">
        <f>C3/10</f>
        <v>0.01</v>
      </c>
      <c r="F4" s="1" t="s">
        <v>11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1" t="s">
        <v>12</v>
      </c>
      <c r="G5" s="11">
        <v>18.971455776311203</v>
      </c>
      <c r="H5" s="11">
        <v>21.02100357299863</v>
      </c>
      <c r="I5" s="11">
        <v>23.421546758241181</v>
      </c>
      <c r="J5" s="11">
        <v>26.258062964201336</v>
      </c>
      <c r="K5" s="11">
        <v>29.64288847989371</v>
      </c>
      <c r="L5" s="11">
        <v>33.727017423980747</v>
      </c>
      <c r="M5" s="11">
        <v>38.717237739351916</v>
      </c>
      <c r="N5" s="11">
        <v>44.902831075546345</v>
      </c>
      <c r="O5" s="11">
        <v>52.69846135557016</v>
      </c>
      <c r="P5" s="11">
        <v>62.715524642010273</v>
      </c>
      <c r="Q5" s="11">
        <v>75.88578525174664</v>
      </c>
    </row>
    <row r="6" spans="2:17" x14ac:dyDescent="0.25">
      <c r="B6" s="1" t="s">
        <v>2</v>
      </c>
      <c r="C6" s="1">
        <v>1.4</v>
      </c>
      <c r="F6" s="1" t="s">
        <v>7</v>
      </c>
      <c r="G6" s="11">
        <v>104786.74969044352</v>
      </c>
      <c r="H6" s="11">
        <v>104735.69568468926</v>
      </c>
      <c r="I6" s="11">
        <v>104669.06973257133</v>
      </c>
      <c r="J6" s="11">
        <v>104580.80925100141</v>
      </c>
      <c r="K6" s="11">
        <v>104461.9110868548</v>
      </c>
      <c r="L6" s="11">
        <v>104298.68268516126</v>
      </c>
      <c r="M6" s="11">
        <v>104069.73174391234</v>
      </c>
      <c r="N6" s="11">
        <v>103740.59722115673</v>
      </c>
      <c r="O6" s="11">
        <v>103253.77822206651</v>
      </c>
      <c r="P6" s="11">
        <v>102509.33114784503</v>
      </c>
      <c r="Q6" s="11">
        <v>101325</v>
      </c>
    </row>
    <row r="7" spans="2:17" x14ac:dyDescent="0.25">
      <c r="B7" s="1" t="s">
        <v>3</v>
      </c>
      <c r="C7" s="1">
        <v>286.97199999999998</v>
      </c>
      <c r="F7" s="1" t="s">
        <v>13</v>
      </c>
      <c r="G7" s="11">
        <v>1.1850000000000001</v>
      </c>
      <c r="H7" s="11">
        <v>1.1850000000000001</v>
      </c>
      <c r="I7" s="11">
        <v>1.1850000000000001</v>
      </c>
      <c r="J7" s="11">
        <v>1.1850000000000001</v>
      </c>
      <c r="K7" s="11">
        <v>1.1850000000000001</v>
      </c>
      <c r="L7" s="11">
        <v>1.1850000000000001</v>
      </c>
      <c r="M7" s="11">
        <v>1.1850000000000001</v>
      </c>
      <c r="N7" s="11">
        <v>1.1850000000000001</v>
      </c>
      <c r="O7" s="11">
        <v>1.1850000000000001</v>
      </c>
      <c r="P7" s="11">
        <v>1.1850000000000001</v>
      </c>
      <c r="Q7" s="11">
        <v>1.1850000000000001</v>
      </c>
    </row>
    <row r="8" spans="2:17" x14ac:dyDescent="0.25">
      <c r="B8" s="1" t="s">
        <v>4</v>
      </c>
      <c r="C8" s="1">
        <v>1004.4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2:17" x14ac:dyDescent="0.25"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2:17" x14ac:dyDescent="0.25">
      <c r="B10" s="1" t="s">
        <v>5</v>
      </c>
      <c r="C10" s="1">
        <v>105000</v>
      </c>
      <c r="F10" s="1" t="s">
        <v>14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 x14ac:dyDescent="0.25">
      <c r="B11" s="1" t="s">
        <v>6</v>
      </c>
      <c r="C11" s="1">
        <v>288.16000000000003</v>
      </c>
      <c r="F11" s="1" t="s">
        <v>15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1">
        <v>0</v>
      </c>
    </row>
    <row r="12" spans="2:17" x14ac:dyDescent="0.25">
      <c r="B12" s="1" t="s">
        <v>7</v>
      </c>
      <c r="C12" s="1">
        <v>101325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2:17" x14ac:dyDescent="0.25">
      <c r="F13" s="1" t="s">
        <v>12</v>
      </c>
      <c r="G13" s="11">
        <f>(H4*H5*H7)/(G4*G7)</f>
        <v>18.971455724631262</v>
      </c>
      <c r="H13" s="13">
        <f t="shared" ref="H13:Q13" si="5">((G6-H6)/H7+G5*H5)^0.5</f>
        <v>21.021003515972847</v>
      </c>
      <c r="I13" s="13">
        <f t="shared" si="5"/>
        <v>23.421546709326705</v>
      </c>
      <c r="J13" s="13">
        <f t="shared" si="5"/>
        <v>26.258062924428092</v>
      </c>
      <c r="K13" s="13">
        <f t="shared" si="5"/>
        <v>29.642888449763046</v>
      </c>
      <c r="L13" s="13">
        <f t="shared" si="5"/>
        <v>33.727017403258657</v>
      </c>
      <c r="M13" s="13">
        <f t="shared" si="5"/>
        <v>38.717237726899626</v>
      </c>
      <c r="N13" s="13">
        <f t="shared" si="5"/>
        <v>44.902831069280374</v>
      </c>
      <c r="O13" s="13">
        <f t="shared" si="5"/>
        <v>52.698461352696171</v>
      </c>
      <c r="P13" s="13">
        <f t="shared" si="5"/>
        <v>62.715524639686627</v>
      </c>
      <c r="Q13" s="13">
        <f t="shared" si="5"/>
        <v>75.885785248200023</v>
      </c>
    </row>
    <row r="14" spans="2:17" x14ac:dyDescent="0.25">
      <c r="B14" s="1" t="s">
        <v>8</v>
      </c>
      <c r="C14" s="1">
        <v>1500</v>
      </c>
      <c r="D14">
        <v>1500</v>
      </c>
      <c r="F14" s="1" t="s">
        <v>7</v>
      </c>
      <c r="G14" s="14">
        <f>C10-(G7*G13^2)/2</f>
        <v>104786.74969160535</v>
      </c>
      <c r="H14" s="11">
        <f>H6+H11</f>
        <v>104735.69568611095</v>
      </c>
      <c r="I14" s="11">
        <f t="shared" ref="I14:Q14" si="6">I6+I11</f>
        <v>104669.06973389479</v>
      </c>
      <c r="J14" s="11">
        <f t="shared" si="6"/>
        <v>104580.80925216197</v>
      </c>
      <c r="K14" s="11">
        <f t="shared" si="6"/>
        <v>104461.91108778602</v>
      </c>
      <c r="L14" s="11">
        <f t="shared" si="6"/>
        <v>104298.68268580665</v>
      </c>
      <c r="M14" s="11">
        <f t="shared" si="6"/>
        <v>104069.73174424389</v>
      </c>
      <c r="N14" s="11">
        <f t="shared" si="6"/>
        <v>103740.59722119931</v>
      </c>
      <c r="O14" s="11">
        <f t="shared" si="6"/>
        <v>103253.77822192019</v>
      </c>
      <c r="P14" s="11">
        <f t="shared" si="6"/>
        <v>102509.33114768284</v>
      </c>
      <c r="Q14" s="11">
        <f t="shared" si="6"/>
        <v>101325</v>
      </c>
    </row>
    <row r="15" spans="2:17" x14ac:dyDescent="0.25">
      <c r="F15" s="1" t="s">
        <v>13</v>
      </c>
      <c r="G15" s="11">
        <v>1.1850000000000001</v>
      </c>
      <c r="H15" s="11">
        <v>1.1850000000000001</v>
      </c>
      <c r="I15" s="11">
        <v>1.1850000000000001</v>
      </c>
      <c r="J15" s="11">
        <v>1.1850000000000001</v>
      </c>
      <c r="K15" s="11">
        <v>1.1850000000000001</v>
      </c>
      <c r="L15" s="11">
        <v>1.1850000000000001</v>
      </c>
      <c r="M15" s="11">
        <v>1.1850000000000001</v>
      </c>
      <c r="N15" s="11">
        <v>1.1850000000000001</v>
      </c>
      <c r="O15" s="11">
        <v>1.1850000000000001</v>
      </c>
      <c r="P15" s="11">
        <v>1.1850000000000001</v>
      </c>
      <c r="Q15" s="11">
        <v>1.1850000000000001</v>
      </c>
    </row>
    <row r="16" spans="2:17" x14ac:dyDescent="0.25"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6:24" x14ac:dyDescent="0.25">
      <c r="F17" s="1" t="s">
        <v>16</v>
      </c>
      <c r="G17" s="13">
        <f>$C$11-(G13^2)/(2*$C$8)</f>
        <v>287.9808302806095</v>
      </c>
      <c r="H17" s="13">
        <f t="shared" ref="H17:Q17" si="7">$C$11-(H13^2)/(2*$C$8)</f>
        <v>287.94002658860092</v>
      </c>
      <c r="I17" s="13">
        <f t="shared" si="7"/>
        <v>287.88691713945781</v>
      </c>
      <c r="J17" s="13">
        <f t="shared" si="7"/>
        <v>287.81676728965391</v>
      </c>
      <c r="K17" s="13">
        <f t="shared" si="7"/>
        <v>287.72257425545348</v>
      </c>
      <c r="L17" s="13">
        <f t="shared" si="7"/>
        <v>287.59373571140998</v>
      </c>
      <c r="M17" s="13">
        <f t="shared" si="7"/>
        <v>287.41377115830284</v>
      </c>
      <c r="N17" s="13">
        <f t="shared" si="7"/>
        <v>287.15628423036821</v>
      </c>
      <c r="O17" s="13">
        <f t="shared" si="7"/>
        <v>286.77751900192078</v>
      </c>
      <c r="P17" s="13">
        <f t="shared" si="7"/>
        <v>286.20199669910841</v>
      </c>
      <c r="Q17" s="13">
        <f t="shared" si="7"/>
        <v>285.29328733436085</v>
      </c>
    </row>
    <row r="18" spans="6:24" x14ac:dyDescent="0.25">
      <c r="F18" s="1" t="s">
        <v>17</v>
      </c>
      <c r="G18" s="15">
        <f>SQRT($C$6*$C$7*G17)</f>
        <v>340.14615793538206</v>
      </c>
      <c r="H18" s="15">
        <f t="shared" ref="H18:Q18" si="8">SQRT($C$6*$C$7*H17)</f>
        <v>340.12205961133657</v>
      </c>
      <c r="I18" s="15">
        <f t="shared" si="8"/>
        <v>340.09069105090526</v>
      </c>
      <c r="J18" s="15">
        <f t="shared" si="8"/>
        <v>340.04925331443559</v>
      </c>
      <c r="K18" s="15">
        <f t="shared" si="8"/>
        <v>339.99360525005523</v>
      </c>
      <c r="L18" s="15">
        <f t="shared" si="8"/>
        <v>339.91747429987271</v>
      </c>
      <c r="M18" s="15">
        <f t="shared" si="8"/>
        <v>339.81110433824358</v>
      </c>
      <c r="N18" s="15">
        <f t="shared" si="8"/>
        <v>339.65885602677889</v>
      </c>
      <c r="O18" s="15">
        <f t="shared" si="8"/>
        <v>339.43477349297444</v>
      </c>
      <c r="P18" s="15">
        <f t="shared" si="8"/>
        <v>339.09400342004153</v>
      </c>
      <c r="Q18" s="15">
        <f t="shared" si="8"/>
        <v>338.5552530298159</v>
      </c>
    </row>
    <row r="19" spans="6:24" x14ac:dyDescent="0.25">
      <c r="F19" s="1" t="s">
        <v>18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  <row r="20" spans="6:24" x14ac:dyDescent="0.25">
      <c r="F20" s="2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6:24" x14ac:dyDescent="0.25">
      <c r="F21" s="2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S21" s="3"/>
      <c r="T21" s="3"/>
      <c r="U21" s="3"/>
      <c r="V21" s="3"/>
      <c r="W21" s="3"/>
      <c r="X21" s="3"/>
    </row>
    <row r="22" spans="6:24" x14ac:dyDescent="0.25">
      <c r="F22" s="2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S22" s="3"/>
      <c r="T22" s="3"/>
      <c r="U22" s="3"/>
      <c r="V22" s="3"/>
      <c r="W22" s="3"/>
      <c r="X22" s="3"/>
    </row>
    <row r="23" spans="6:24" x14ac:dyDescent="0.25">
      <c r="F23" s="2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S23" s="3"/>
      <c r="T23" s="3"/>
      <c r="U23" s="3"/>
      <c r="V23" s="3"/>
      <c r="W23" s="3"/>
      <c r="X23" s="3"/>
    </row>
    <row r="24" spans="6:24" x14ac:dyDescent="0.25">
      <c r="S24" s="3"/>
      <c r="T24" s="3"/>
      <c r="U24" s="3"/>
      <c r="V24" s="3"/>
      <c r="W24" s="3"/>
      <c r="X24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0</xdr:colOff>
                    <xdr:row>15</xdr:row>
                    <xdr:rowOff>133350</xdr:rowOff>
                  </from>
                  <to>
                    <xdr:col>3</xdr:col>
                    <xdr:colOff>361950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X24"/>
  <sheetViews>
    <sheetView zoomScale="70" zoomScaleNormal="70" workbookViewId="0">
      <selection activeCell="C11" sqref="C11"/>
    </sheetView>
  </sheetViews>
  <sheetFormatPr defaultRowHeight="15" x14ac:dyDescent="0.25"/>
  <cols>
    <col min="7" max="7" width="9.7109375" bestFit="1" customWidth="1"/>
    <col min="8" max="17" width="9.5703125" bestFit="1" customWidth="1"/>
  </cols>
  <sheetData>
    <row r="1" spans="2:17" x14ac:dyDescent="0.25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 x14ac:dyDescent="0.25">
      <c r="F2" s="1" t="s">
        <v>10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1" t="s">
        <v>0</v>
      </c>
      <c r="C3" s="1">
        <v>0.1</v>
      </c>
      <c r="F3" s="1" t="s">
        <v>3</v>
      </c>
      <c r="G3" s="11">
        <v>0.08</v>
      </c>
      <c r="H3" s="11">
        <f>G3+($Q$3-$G$3)/10</f>
        <v>7.5999999999999998E-2</v>
      </c>
      <c r="I3" s="11">
        <f t="shared" ref="I3:P3" si="1">H3+($Q$3-$G$3)/10</f>
        <v>7.1999999999999995E-2</v>
      </c>
      <c r="J3" s="11">
        <f t="shared" si="1"/>
        <v>6.7999999999999991E-2</v>
      </c>
      <c r="K3" s="11">
        <f t="shared" si="1"/>
        <v>6.3999999999999987E-2</v>
      </c>
      <c r="L3" s="11">
        <f t="shared" si="1"/>
        <v>5.9999999999999984E-2</v>
      </c>
      <c r="M3" s="11">
        <f t="shared" si="1"/>
        <v>5.599999999999998E-2</v>
      </c>
      <c r="N3" s="11">
        <f t="shared" si="1"/>
        <v>5.1999999999999977E-2</v>
      </c>
      <c r="O3" s="11">
        <f t="shared" si="1"/>
        <v>4.7999999999999973E-2</v>
      </c>
      <c r="P3" s="11">
        <f t="shared" si="1"/>
        <v>4.399999999999997E-2</v>
      </c>
      <c r="Q3" s="11">
        <v>0.04</v>
      </c>
    </row>
    <row r="4" spans="2:17" x14ac:dyDescent="0.25">
      <c r="B4" s="1" t="s">
        <v>1</v>
      </c>
      <c r="C4" s="1">
        <f>C3/10</f>
        <v>0.01</v>
      </c>
      <c r="F4" s="1" t="s">
        <v>11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1" t="s">
        <v>12</v>
      </c>
      <c r="G5" s="11">
        <v>17.965677749011054</v>
      </c>
      <c r="H5" s="11">
        <v>19.913413805299584</v>
      </c>
      <c r="I5" s="11">
        <v>22.200045404994878</v>
      </c>
      <c r="J5" s="11">
        <v>24.90816735873263</v>
      </c>
      <c r="K5" s="11">
        <v>28.148271200498691</v>
      </c>
      <c r="L5" s="11">
        <v>32.070248179569305</v>
      </c>
      <c r="M5" s="11">
        <v>36.882190050039029</v>
      </c>
      <c r="N5" s="11">
        <v>42.881135090875794</v>
      </c>
      <c r="O5" s="11">
        <v>50.505904672857866</v>
      </c>
      <c r="P5" s="11">
        <v>60.433923409349447</v>
      </c>
      <c r="Q5" s="11">
        <v>73.774957760448117</v>
      </c>
    </row>
    <row r="6" spans="2:17" x14ac:dyDescent="0.25">
      <c r="B6" s="1" t="s">
        <v>2</v>
      </c>
      <c r="C6" s="1">
        <v>1.4</v>
      </c>
      <c r="F6" s="1" t="s">
        <v>7</v>
      </c>
      <c r="G6" s="11">
        <v>104795.37046284738</v>
      </c>
      <c r="H6" s="11">
        <v>104746.20531791639</v>
      </c>
      <c r="I6" s="11">
        <v>104681.8857714749</v>
      </c>
      <c r="J6" s="11">
        <v>104596.46859521579</v>
      </c>
      <c r="K6" s="11">
        <v>104481.07197642179</v>
      </c>
      <c r="L6" s="11">
        <v>104322.10705669131</v>
      </c>
      <c r="M6" s="11">
        <v>104098.16192725667</v>
      </c>
      <c r="N6" s="11">
        <v>103774.30941407706</v>
      </c>
      <c r="O6" s="11">
        <v>103291.16099902632</v>
      </c>
      <c r="P6" s="11">
        <v>102542.43320918738</v>
      </c>
      <c r="Q6" s="11">
        <v>101325</v>
      </c>
    </row>
    <row r="7" spans="2:17" x14ac:dyDescent="0.25">
      <c r="B7" s="1" t="s">
        <v>3</v>
      </c>
      <c r="C7" s="1">
        <v>286.97199999999998</v>
      </c>
      <c r="F7" s="1" t="s">
        <v>13</v>
      </c>
      <c r="G7" s="11">
        <v>1.2679762066181028</v>
      </c>
      <c r="H7" s="11">
        <v>1.2675429764889037</v>
      </c>
      <c r="I7" s="11">
        <v>1.2669755575208037</v>
      </c>
      <c r="J7" s="11">
        <v>1.266221046615267</v>
      </c>
      <c r="K7" s="11">
        <v>1.2652002232214405</v>
      </c>
      <c r="L7" s="11">
        <v>1.2637915969220439</v>
      </c>
      <c r="M7" s="11">
        <v>1.2618031955055427</v>
      </c>
      <c r="N7" s="11">
        <v>1.2589207925658019</v>
      </c>
      <c r="O7" s="11">
        <v>1.2546077778956615</v>
      </c>
      <c r="P7" s="11">
        <v>1.2478984257538666</v>
      </c>
      <c r="Q7" s="11">
        <v>1.2369330813723052</v>
      </c>
    </row>
    <row r="8" spans="2:17" x14ac:dyDescent="0.25">
      <c r="B8" s="1" t="s">
        <v>4</v>
      </c>
      <c r="C8" s="1">
        <v>1004.4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2:17" x14ac:dyDescent="0.25"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2:17" x14ac:dyDescent="0.25">
      <c r="B10" s="1" t="s">
        <v>5</v>
      </c>
      <c r="C10" s="1">
        <v>105000</v>
      </c>
      <c r="F10" s="1" t="s">
        <v>14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 x14ac:dyDescent="0.25">
      <c r="B11" s="1" t="s">
        <v>6</v>
      </c>
      <c r="C11" s="1">
        <v>288.16000000000003</v>
      </c>
      <c r="F11" s="1" t="s">
        <v>15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1">
        <v>0</v>
      </c>
    </row>
    <row r="12" spans="2:17" x14ac:dyDescent="0.25">
      <c r="B12" s="1" t="s">
        <v>7</v>
      </c>
      <c r="C12" s="1">
        <v>101325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2:17" x14ac:dyDescent="0.25">
      <c r="F13" s="1" t="s">
        <v>12</v>
      </c>
      <c r="G13" s="11">
        <f>(H4*H5*H7)/(G4*G7)</f>
        <v>17.96571550535436</v>
      </c>
      <c r="H13" s="13">
        <f t="shared" ref="H13:P13" si="5">((G6-H6)/H7+G5*H5)^0.5</f>
        <v>19.913455981592517</v>
      </c>
      <c r="I13" s="13">
        <f t="shared" si="5"/>
        <v>22.200110360834749</v>
      </c>
      <c r="J13" s="13">
        <f t="shared" si="5"/>
        <v>24.908247456591255</v>
      </c>
      <c r="K13" s="13">
        <f t="shared" si="5"/>
        <v>28.148357627262506</v>
      </c>
      <c r="L13" s="13">
        <f t="shared" si="5"/>
        <v>32.070331583152644</v>
      </c>
      <c r="M13" s="13">
        <f t="shared" si="5"/>
        <v>36.882261654019779</v>
      </c>
      <c r="N13" s="13">
        <f t="shared" si="5"/>
        <v>42.881188334412563</v>
      </c>
      <c r="O13" s="13">
        <f t="shared" si="5"/>
        <v>50.505937196002144</v>
      </c>
      <c r="P13" s="13">
        <f t="shared" si="5"/>
        <v>60.433938702113757</v>
      </c>
      <c r="Q13" s="13">
        <f>((P6-Q6)/Q7+P5*Q5)^0.5</f>
        <v>73.774964942658258</v>
      </c>
    </row>
    <row r="14" spans="2:17" x14ac:dyDescent="0.25">
      <c r="B14" s="1" t="s">
        <v>8</v>
      </c>
      <c r="C14" s="1">
        <v>1500</v>
      </c>
      <c r="D14">
        <v>1500</v>
      </c>
      <c r="F14" s="1" t="s">
        <v>7</v>
      </c>
      <c r="G14" s="14">
        <f>C10-(G7*G13^2)/2</f>
        <v>104795.36960394381</v>
      </c>
      <c r="H14" s="14">
        <f>H6+H11</f>
        <v>104746.20422899675</v>
      </c>
      <c r="I14" s="14">
        <f t="shared" ref="I14:Q14" si="6">I6+I11</f>
        <v>104681.88384740002</v>
      </c>
      <c r="J14" s="14">
        <f t="shared" si="6"/>
        <v>104596.46592138089</v>
      </c>
      <c r="K14" s="14">
        <f t="shared" si="6"/>
        <v>104481.0687341094</v>
      </c>
      <c r="L14" s="14">
        <f t="shared" si="6"/>
        <v>104322.10354246786</v>
      </c>
      <c r="M14" s="14">
        <f t="shared" si="6"/>
        <v>104098.15855164286</v>
      </c>
      <c r="N14" s="14">
        <f t="shared" si="6"/>
        <v>103774.30665277598</v>
      </c>
      <c r="O14" s="14">
        <f t="shared" si="6"/>
        <v>103291.15925986697</v>
      </c>
      <c r="P14" s="14">
        <f t="shared" si="6"/>
        <v>102542.43258943266</v>
      </c>
      <c r="Q14" s="14">
        <f t="shared" si="6"/>
        <v>101325</v>
      </c>
    </row>
    <row r="15" spans="2:17" x14ac:dyDescent="0.25">
      <c r="F15" s="1" t="s">
        <v>13</v>
      </c>
      <c r="G15" s="11">
        <f>G14/($C$7*G17)</f>
        <v>1.2679761991991174</v>
      </c>
      <c r="H15" s="11">
        <f t="shared" ref="H15:Q15" si="7">H14/($C$7*H17)</f>
        <v>1.267542966992526</v>
      </c>
      <c r="I15" s="11">
        <f t="shared" si="7"/>
        <v>1.2669755405513954</v>
      </c>
      <c r="J15" s="11">
        <f t="shared" si="7"/>
        <v>1.2662210229841522</v>
      </c>
      <c r="K15" s="11">
        <f t="shared" si="7"/>
        <v>1.2652001946082072</v>
      </c>
      <c r="L15" s="11">
        <f t="shared" si="7"/>
        <v>1.2637915660498549</v>
      </c>
      <c r="M15" s="11">
        <f t="shared" si="7"/>
        <v>1.2618031661293456</v>
      </c>
      <c r="N15" s="11">
        <f t="shared" si="7"/>
        <v>1.2589207690301487</v>
      </c>
      <c r="O15" s="11">
        <f t="shared" si="7"/>
        <v>1.2546077639231541</v>
      </c>
      <c r="P15" s="11">
        <f t="shared" si="7"/>
        <v>1.2478984222218048</v>
      </c>
      <c r="Q15" s="11">
        <f t="shared" si="7"/>
        <v>1.2369330836583028</v>
      </c>
    </row>
    <row r="16" spans="2:17" x14ac:dyDescent="0.25"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6:24" x14ac:dyDescent="0.25">
      <c r="F17" s="1" t="s">
        <v>16</v>
      </c>
      <c r="G17" s="13">
        <f>$C$11-(G13^2)/(2*$C$8)</f>
        <v>287.99932350974746</v>
      </c>
      <c r="H17" s="13">
        <f t="shared" ref="H17:Q17" si="8">$C$11-(H13^2)/(2*$C$8)</f>
        <v>287.96259571429175</v>
      </c>
      <c r="I17" s="13">
        <f t="shared" si="8"/>
        <v>287.91465705892415</v>
      </c>
      <c r="J17" s="13">
        <f t="shared" si="8"/>
        <v>287.85114855069759</v>
      </c>
      <c r="K17" s="13">
        <f t="shared" si="8"/>
        <v>287.76557047136987</v>
      </c>
      <c r="L17" s="13">
        <f t="shared" si="8"/>
        <v>287.64799971731713</v>
      </c>
      <c r="M17" s="13">
        <f t="shared" si="8"/>
        <v>287.4828289403049</v>
      </c>
      <c r="N17" s="13">
        <f t="shared" si="8"/>
        <v>287.24462947382949</v>
      </c>
      <c r="O17" s="13">
        <f t="shared" si="8"/>
        <v>286.89016243924408</v>
      </c>
      <c r="P17" s="13">
        <f t="shared" si="8"/>
        <v>286.34186930154777</v>
      </c>
      <c r="Q17" s="13">
        <f t="shared" si="8"/>
        <v>285.45054885887572</v>
      </c>
    </row>
    <row r="18" spans="6:24" x14ac:dyDescent="0.25">
      <c r="F18" s="1" t="s">
        <v>17</v>
      </c>
      <c r="G18" s="15">
        <f>SQRT($C$6*$C$7*G17)</f>
        <v>340.15707932179646</v>
      </c>
      <c r="H18" s="15">
        <f t="shared" ref="H18:Q18" si="9">SQRT($C$6*$C$7*H17)</f>
        <v>340.13538896188152</v>
      </c>
      <c r="I18" s="15">
        <f t="shared" si="9"/>
        <v>340.10707571545612</v>
      </c>
      <c r="J18" s="15">
        <f t="shared" si="9"/>
        <v>340.06956306415765</v>
      </c>
      <c r="K18" s="15">
        <f t="shared" si="9"/>
        <v>340.01900800548481</v>
      </c>
      <c r="L18" s="15">
        <f t="shared" si="9"/>
        <v>339.94954108636341</v>
      </c>
      <c r="M18" s="15">
        <f t="shared" si="9"/>
        <v>339.85192561072836</v>
      </c>
      <c r="N18" s="15">
        <f t="shared" si="9"/>
        <v>339.71110098598382</v>
      </c>
      <c r="O18" s="15">
        <f t="shared" si="9"/>
        <v>339.50143029701752</v>
      </c>
      <c r="P18" s="15">
        <f t="shared" si="9"/>
        <v>339.1768542870891</v>
      </c>
      <c r="Q18" s="15">
        <f t="shared" si="9"/>
        <v>338.64855066865556</v>
      </c>
    </row>
    <row r="19" spans="6:24" x14ac:dyDescent="0.25">
      <c r="F19" s="1" t="s">
        <v>18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24" x14ac:dyDescent="0.25">
      <c r="F20" s="11" t="s">
        <v>19</v>
      </c>
      <c r="G20" s="11">
        <f>1-((($C$6-1)/($C$6+1))*G21^2)</f>
        <v>0.9994451906278492</v>
      </c>
      <c r="H20" s="11">
        <f t="shared" ref="H20:Q20" si="11">1-((($C$6-1)/($C$6+1))*H21^2)</f>
        <v>0.99931914815499334</v>
      </c>
      <c r="I20" s="11">
        <f t="shared" si="11"/>
        <v>0.99915506397534504</v>
      </c>
      <c r="J20" s="11">
        <f t="shared" si="11"/>
        <v>0.99893843679612382</v>
      </c>
      <c r="K20" s="11">
        <f t="shared" si="11"/>
        <v>0.99864787310904413</v>
      </c>
      <c r="L20" s="11">
        <f t="shared" si="11"/>
        <v>0.99825117746287018</v>
      </c>
      <c r="M20" s="11">
        <f t="shared" si="11"/>
        <v>0.99769869398315969</v>
      </c>
      <c r="N20" s="11">
        <f t="shared" si="11"/>
        <v>0.99691169398586221</v>
      </c>
      <c r="O20" s="11">
        <f t="shared" si="11"/>
        <v>0.99576140279709935</v>
      </c>
      <c r="P20" s="11">
        <f t="shared" si="11"/>
        <v>0.9940295930298334</v>
      </c>
      <c r="Q20" s="11">
        <f t="shared" si="11"/>
        <v>0.99133102212098823</v>
      </c>
    </row>
    <row r="21" spans="6:24" x14ac:dyDescent="0.25">
      <c r="F21" s="11" t="s">
        <v>20</v>
      </c>
      <c r="G21" s="11">
        <f>SQRT(((($C$6+1)/2)*G19^2)/(1+2*G19^2))</f>
        <v>5.7696241063908013E-2</v>
      </c>
      <c r="H21" s="11">
        <f>SQRT(((($C$6+1)/2)*H19^2)/(1+2*H19^2))</f>
        <v>6.3914873621400858E-2</v>
      </c>
      <c r="I21" s="11">
        <f t="shared" ref="I21:Q21" si="12">SQRT(((($C$6+1)/2)*I19^2)/(1+2*I19^2))</f>
        <v>7.1201236983141639E-2</v>
      </c>
      <c r="J21" s="11">
        <f t="shared" si="12"/>
        <v>7.9808390682038655E-2</v>
      </c>
      <c r="K21" s="11">
        <f t="shared" si="12"/>
        <v>9.007086846331129E-2</v>
      </c>
      <c r="L21" s="11">
        <f t="shared" si="12"/>
        <v>0.10243502927601809</v>
      </c>
      <c r="M21" s="11">
        <f t="shared" si="12"/>
        <v>0.11750674917229943</v>
      </c>
      <c r="N21" s="11">
        <f t="shared" si="12"/>
        <v>0.13612434053036448</v>
      </c>
      <c r="O21" s="11">
        <f t="shared" si="12"/>
        <v>0.15947282908823032</v>
      </c>
      <c r="P21" s="11">
        <f t="shared" si="12"/>
        <v>0.18926817434793303</v>
      </c>
      <c r="Q21" s="11">
        <f t="shared" si="12"/>
        <v>0.22806548900276599</v>
      </c>
      <c r="S21" s="3"/>
      <c r="T21" s="3"/>
      <c r="U21" s="3"/>
      <c r="V21" s="3"/>
      <c r="W21" s="3"/>
      <c r="X21" s="3"/>
    </row>
    <row r="22" spans="6:24" x14ac:dyDescent="0.25">
      <c r="F22" s="11" t="s">
        <v>21</v>
      </c>
      <c r="G22" s="11">
        <f>(1-((($C$6-1)/($C$6+1))*G21^2))^($C$6/($C$6-1))</f>
        <v>0.99805951350771915</v>
      </c>
      <c r="H22" s="11">
        <f t="shared" ref="H22:Q22" si="13">(1-((($C$6-1)/($C$6+1))*H21^2))^($C$6/($C$6-1))</f>
        <v>0.99761904592377981</v>
      </c>
      <c r="I22" s="11">
        <f t="shared" si="13"/>
        <v>0.99704584598069135</v>
      </c>
      <c r="J22" s="11">
        <f t="shared" si="13"/>
        <v>0.99628945642929645</v>
      </c>
      <c r="K22" s="11">
        <f t="shared" si="13"/>
        <v>0.99527554905621063</v>
      </c>
      <c r="L22" s="11">
        <f t="shared" si="13"/>
        <v>0.99389248983628464</v>
      </c>
      <c r="M22" s="11">
        <f t="shared" si="13"/>
        <v>0.99196857232910385</v>
      </c>
      <c r="N22" s="11">
        <f t="shared" si="13"/>
        <v>0.98923259169120825</v>
      </c>
      <c r="O22" s="11">
        <f t="shared" si="13"/>
        <v>0.98524334326618301</v>
      </c>
      <c r="P22" s="11">
        <f t="shared" si="13"/>
        <v>0.97925906060631596</v>
      </c>
      <c r="Q22" s="11">
        <f t="shared" si="13"/>
        <v>0.96998594024949014</v>
      </c>
      <c r="S22" s="3"/>
      <c r="T22" s="3"/>
      <c r="U22" s="3"/>
      <c r="V22" s="3"/>
      <c r="W22" s="3"/>
      <c r="X22" s="3"/>
    </row>
    <row r="23" spans="6:24" x14ac:dyDescent="0.25">
      <c r="F23" s="11" t="s">
        <v>5</v>
      </c>
      <c r="G23" s="11">
        <f>G14/G22</f>
        <v>104999.11897601816</v>
      </c>
      <c r="H23" s="11">
        <f t="shared" ref="H23:Q23" si="14">H14/H22</f>
        <v>104996.19534829889</v>
      </c>
      <c r="I23" s="11">
        <f t="shared" si="14"/>
        <v>104992.04652363325</v>
      </c>
      <c r="J23" s="11">
        <f t="shared" si="14"/>
        <v>104986.02112708775</v>
      </c>
      <c r="K23" s="11">
        <f t="shared" si="14"/>
        <v>104977.02755099892</v>
      </c>
      <c r="L23" s="11">
        <f t="shared" si="14"/>
        <v>104963.16715266854</v>
      </c>
      <c r="M23" s="11">
        <f t="shared" si="14"/>
        <v>104940.9844781921</v>
      </c>
      <c r="N23" s="11">
        <f t="shared" si="14"/>
        <v>104903.84923060585</v>
      </c>
      <c r="O23" s="11">
        <f t="shared" si="14"/>
        <v>104838.22089824647</v>
      </c>
      <c r="P23" s="11">
        <f t="shared" si="14"/>
        <v>104714.30565671019</v>
      </c>
      <c r="Q23" s="11">
        <f t="shared" si="14"/>
        <v>104460.27699529148</v>
      </c>
      <c r="S23" s="3"/>
      <c r="T23" s="3"/>
      <c r="U23" s="3"/>
      <c r="V23" s="3"/>
      <c r="W23" s="3"/>
      <c r="X23" s="3"/>
    </row>
    <row r="24" spans="6:24" x14ac:dyDescent="0.25">
      <c r="S24" s="3"/>
      <c r="T24" s="3"/>
      <c r="U24" s="3"/>
      <c r="V24" s="3"/>
      <c r="W24" s="3"/>
      <c r="X24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0</xdr:colOff>
                    <xdr:row>15</xdr:row>
                    <xdr:rowOff>133350</xdr:rowOff>
                  </from>
                  <to>
                    <xdr:col>3</xdr:col>
                    <xdr:colOff>361950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Y24"/>
  <sheetViews>
    <sheetView zoomScale="70" zoomScaleNormal="70" workbookViewId="0">
      <selection activeCell="T3" sqref="T3:Y6"/>
    </sheetView>
  </sheetViews>
  <sheetFormatPr defaultRowHeight="15" x14ac:dyDescent="0.25"/>
  <cols>
    <col min="7" max="7" width="9.7109375" bestFit="1" customWidth="1"/>
    <col min="8" max="17" width="9.5703125" bestFit="1" customWidth="1"/>
  </cols>
  <sheetData>
    <row r="1" spans="2:25" x14ac:dyDescent="0.25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25" x14ac:dyDescent="0.25">
      <c r="F2" s="1" t="s">
        <v>10</v>
      </c>
      <c r="G2" s="17">
        <v>0</v>
      </c>
      <c r="H2" s="17">
        <f>G2+$C$4</f>
        <v>0.01</v>
      </c>
      <c r="I2" s="17">
        <f t="shared" ref="I2:Q2" si="0">H2+$C$4</f>
        <v>0.02</v>
      </c>
      <c r="J2" s="17">
        <f t="shared" si="0"/>
        <v>0.03</v>
      </c>
      <c r="K2" s="17">
        <f t="shared" si="0"/>
        <v>0.04</v>
      </c>
      <c r="L2" s="17">
        <f t="shared" si="0"/>
        <v>0.05</v>
      </c>
      <c r="M2" s="17">
        <f t="shared" si="0"/>
        <v>6.0000000000000005E-2</v>
      </c>
      <c r="N2" s="17">
        <f t="shared" si="0"/>
        <v>7.0000000000000007E-2</v>
      </c>
      <c r="O2" s="17">
        <f t="shared" si="0"/>
        <v>0.08</v>
      </c>
      <c r="P2" s="17">
        <f t="shared" si="0"/>
        <v>0.09</v>
      </c>
      <c r="Q2" s="17">
        <f t="shared" si="0"/>
        <v>9.9999999999999992E-2</v>
      </c>
    </row>
    <row r="3" spans="2:25" x14ac:dyDescent="0.25">
      <c r="B3" s="1" t="s">
        <v>0</v>
      </c>
      <c r="C3" s="1">
        <v>0.1</v>
      </c>
      <c r="F3" s="1" t="s">
        <v>3</v>
      </c>
      <c r="G3" s="17">
        <v>0.08</v>
      </c>
      <c r="H3" s="17">
        <f>G3+($Q$3-$G$3)/10</f>
        <v>7.5999999999999998E-2</v>
      </c>
      <c r="I3" s="17">
        <f t="shared" ref="I3:P3" si="1">H3+($Q$3-$G$3)/10</f>
        <v>7.1999999999999995E-2</v>
      </c>
      <c r="J3" s="17">
        <f t="shared" si="1"/>
        <v>6.7999999999999991E-2</v>
      </c>
      <c r="K3" s="17">
        <f t="shared" si="1"/>
        <v>6.3999999999999987E-2</v>
      </c>
      <c r="L3" s="17">
        <f t="shared" si="1"/>
        <v>5.9999999999999984E-2</v>
      </c>
      <c r="M3" s="17">
        <f t="shared" si="1"/>
        <v>5.599999999999998E-2</v>
      </c>
      <c r="N3" s="17">
        <f t="shared" si="1"/>
        <v>5.1999999999999977E-2</v>
      </c>
      <c r="O3" s="17">
        <f t="shared" si="1"/>
        <v>4.7999999999999973E-2</v>
      </c>
      <c r="P3" s="17">
        <f t="shared" si="1"/>
        <v>4.399999999999997E-2</v>
      </c>
      <c r="Q3" s="17">
        <v>0.04</v>
      </c>
      <c r="T3" s="7"/>
      <c r="U3" s="7">
        <v>0</v>
      </c>
      <c r="V3" s="6">
        <v>2.5000000000000001E-2</v>
      </c>
      <c r="W3" s="7">
        <v>0.05</v>
      </c>
      <c r="X3" s="6">
        <v>7.4999999999999997E-2</v>
      </c>
      <c r="Y3" s="7">
        <v>0.1</v>
      </c>
    </row>
    <row r="4" spans="2:25" x14ac:dyDescent="0.25">
      <c r="B4" s="1" t="s">
        <v>1</v>
      </c>
      <c r="C4" s="1">
        <f>C3/10</f>
        <v>0.01</v>
      </c>
      <c r="F4" s="1" t="s">
        <v>11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3">
        <f t="shared" si="2"/>
        <v>5.0265482457436689E-3</v>
      </c>
      <c r="T4" s="7" t="s">
        <v>22</v>
      </c>
      <c r="U4" s="8">
        <v>62.6</v>
      </c>
      <c r="V4" s="7">
        <v>78.260000000000005</v>
      </c>
      <c r="W4" s="7">
        <v>106.77</v>
      </c>
      <c r="X4" s="7">
        <v>153.75</v>
      </c>
      <c r="Y4" s="7">
        <v>238.13</v>
      </c>
    </row>
    <row r="5" spans="2:25" x14ac:dyDescent="0.25">
      <c r="F5" s="1" t="s">
        <v>12</v>
      </c>
      <c r="G5" s="17">
        <v>106.77346521740971</v>
      </c>
      <c r="H5" s="17">
        <v>118.30880602632858</v>
      </c>
      <c r="I5" s="17">
        <v>131.83543684838898</v>
      </c>
      <c r="J5" s="17">
        <v>147.82577804181702</v>
      </c>
      <c r="K5" s="17">
        <v>166.91248036802023</v>
      </c>
      <c r="L5" s="17">
        <v>189.94514290211384</v>
      </c>
      <c r="M5" s="17">
        <v>218.08663139815965</v>
      </c>
      <c r="N5" s="17">
        <v>252.96346633415229</v>
      </c>
      <c r="O5" s="17">
        <v>296.90787671612031</v>
      </c>
      <c r="P5" s="17">
        <v>353.36103997023986</v>
      </c>
      <c r="Q5" s="17">
        <v>427.57197830846815</v>
      </c>
      <c r="T5" s="7" t="s">
        <v>23</v>
      </c>
      <c r="U5" s="9">
        <v>132552</v>
      </c>
      <c r="V5" s="9">
        <v>131334</v>
      </c>
      <c r="W5" s="9">
        <v>128213</v>
      </c>
      <c r="X5" s="9">
        <v>120941</v>
      </c>
      <c r="Y5" s="9">
        <v>101336</v>
      </c>
    </row>
    <row r="6" spans="2:25" x14ac:dyDescent="0.25">
      <c r="B6" s="1" t="s">
        <v>2</v>
      </c>
      <c r="C6" s="1">
        <v>1.4</v>
      </c>
      <c r="F6" s="1" t="s">
        <v>7</v>
      </c>
      <c r="G6" s="17">
        <v>211245.16057183896</v>
      </c>
      <c r="H6" s="17">
        <v>209627.88029721737</v>
      </c>
      <c r="I6" s="17">
        <v>207514.57687025546</v>
      </c>
      <c r="J6" s="17">
        <v>204713.35765700546</v>
      </c>
      <c r="K6" s="17">
        <v>200938.0193143356</v>
      </c>
      <c r="L6" s="17">
        <v>195753.54995743209</v>
      </c>
      <c r="M6" s="17">
        <v>188480.7162976643</v>
      </c>
      <c r="N6" s="17">
        <v>178025.8488447472</v>
      </c>
      <c r="O6" s="17">
        <v>162564.54158267644</v>
      </c>
      <c r="P6" s="17">
        <v>138925.69777259091</v>
      </c>
      <c r="Q6" s="17">
        <v>101325</v>
      </c>
      <c r="T6" s="7" t="s">
        <v>24</v>
      </c>
      <c r="U6" s="6">
        <v>1.375</v>
      </c>
      <c r="V6" s="7"/>
      <c r="W6" s="7"/>
      <c r="X6" s="7"/>
      <c r="Y6" s="7"/>
    </row>
    <row r="7" spans="2:25" x14ac:dyDescent="0.25">
      <c r="B7" s="1" t="s">
        <v>3</v>
      </c>
      <c r="C7" s="1">
        <v>286.97199999999998</v>
      </c>
      <c r="F7" s="1" t="s">
        <v>13</v>
      </c>
      <c r="G7" s="17">
        <v>1.1850000000000001</v>
      </c>
      <c r="H7" s="17">
        <v>1.1850000000000001</v>
      </c>
      <c r="I7" s="17">
        <v>1.1850000000000001</v>
      </c>
      <c r="J7" s="17">
        <v>1.1850000000000001</v>
      </c>
      <c r="K7" s="17">
        <v>1.1850000000000001</v>
      </c>
      <c r="L7" s="17">
        <v>1.1850000000000001</v>
      </c>
      <c r="M7" s="17">
        <v>1.1850000000000001</v>
      </c>
      <c r="N7" s="17">
        <v>1.1850000000000001</v>
      </c>
      <c r="O7" s="17">
        <v>1.1850000000000001</v>
      </c>
      <c r="P7" s="17">
        <v>1.1850000000000001</v>
      </c>
      <c r="Q7" s="17">
        <v>1.1850000000000001</v>
      </c>
    </row>
    <row r="8" spans="2:25" x14ac:dyDescent="0.25">
      <c r="B8" s="1" t="s">
        <v>4</v>
      </c>
      <c r="C8" s="1">
        <v>1004.4</v>
      </c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</row>
    <row r="9" spans="2:25" x14ac:dyDescent="0.25"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</row>
    <row r="10" spans="2:25" x14ac:dyDescent="0.25">
      <c r="B10" s="1" t="s">
        <v>5</v>
      </c>
      <c r="C10" s="1">
        <v>218000</v>
      </c>
      <c r="F10" s="1" t="s">
        <v>14</v>
      </c>
      <c r="G10" s="10">
        <f>G4*G7*G13</f>
        <v>2.5439728909582437</v>
      </c>
      <c r="H10" s="10">
        <f t="shared" ref="H10:Q10" si="3">H4*H7*H13</f>
        <v>2.5439784418729214</v>
      </c>
      <c r="I10" s="10">
        <f t="shared" si="3"/>
        <v>2.544289303683049</v>
      </c>
      <c r="J10" s="10">
        <f t="shared" si="3"/>
        <v>2.5447044495398883</v>
      </c>
      <c r="K10" s="10">
        <f t="shared" si="3"/>
        <v>2.5451770625558776</v>
      </c>
      <c r="L10" s="10">
        <f t="shared" si="3"/>
        <v>2.5456561547186798</v>
      </c>
      <c r="M10" s="10">
        <f t="shared" si="3"/>
        <v>2.5460909585667735</v>
      </c>
      <c r="N10" s="13">
        <f t="shared" si="3"/>
        <v>2.5464378453092893</v>
      </c>
      <c r="O10" s="10">
        <f t="shared" si="3"/>
        <v>2.5466695876878793</v>
      </c>
      <c r="P10" s="10">
        <f t="shared" si="3"/>
        <v>2.5467851863366322</v>
      </c>
      <c r="Q10" s="10">
        <f t="shared" si="3"/>
        <v>2.5468154468156907</v>
      </c>
    </row>
    <row r="11" spans="2:25" x14ac:dyDescent="0.25">
      <c r="B11" s="1" t="s">
        <v>6</v>
      </c>
      <c r="C11" s="1">
        <v>288.16000000000003</v>
      </c>
      <c r="F11" s="1" t="s">
        <v>15</v>
      </c>
      <c r="G11" s="17">
        <v>0</v>
      </c>
      <c r="H11" s="17">
        <f>H13*(H10-I10)</f>
        <v>-3.6777769843794411E-2</v>
      </c>
      <c r="I11" s="17">
        <f t="shared" ref="I11:P11" si="4">I13*(I10-J10)</f>
        <v>-5.4731075735119435E-2</v>
      </c>
      <c r="J11" s="17">
        <f t="shared" si="4"/>
        <v>-6.9864568143776118E-2</v>
      </c>
      <c r="K11" s="17">
        <f t="shared" si="4"/>
        <v>-7.9966648796752193E-2</v>
      </c>
      <c r="L11" s="17">
        <f t="shared" si="4"/>
        <v>-8.258903614960536E-2</v>
      </c>
      <c r="M11" s="17">
        <f t="shared" si="4"/>
        <v>-7.5651464494586471E-2</v>
      </c>
      <c r="N11" s="17">
        <f t="shared" si="4"/>
        <v>-5.8622404806882883E-2</v>
      </c>
      <c r="O11" s="17">
        <f t="shared" si="4"/>
        <v>-3.4322163971628912E-2</v>
      </c>
      <c r="P11" s="17">
        <f t="shared" si="4"/>
        <v>-1.0692876188031671E-2</v>
      </c>
      <c r="Q11" s="17">
        <v>0</v>
      </c>
    </row>
    <row r="12" spans="2:25" x14ac:dyDescent="0.25">
      <c r="B12" s="1" t="s">
        <v>7</v>
      </c>
      <c r="C12" s="1">
        <v>101325</v>
      </c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</row>
    <row r="13" spans="2:25" x14ac:dyDescent="0.25">
      <c r="F13" s="1" t="s">
        <v>12</v>
      </c>
      <c r="G13" s="17">
        <f>(H4*H5*H7)/(G4*G7)</f>
        <v>106.77369743876154</v>
      </c>
      <c r="H13" s="17">
        <f>((G6-H6)/H7+G5*H5)^0.5</f>
        <v>118.30906417455424</v>
      </c>
      <c r="I13" s="17">
        <f t="shared" ref="I13:Q13" si="5">((H6-I6)/I7+H5*I5)^0.5</f>
        <v>131.83577490525659</v>
      </c>
      <c r="J13" s="17">
        <f t="shared" si="5"/>
        <v>147.82616174361391</v>
      </c>
      <c r="K13" s="17">
        <f t="shared" si="5"/>
        <v>166.9128718972006</v>
      </c>
      <c r="L13" s="17">
        <f t="shared" si="5"/>
        <v>189.9455041893037</v>
      </c>
      <c r="M13" s="17">
        <f t="shared" si="5"/>
        <v>218.08692931277685</v>
      </c>
      <c r="N13" s="17">
        <f t="shared" si="5"/>
        <v>252.96367959781344</v>
      </c>
      <c r="O13" s="17">
        <f t="shared" si="5"/>
        <v>296.90800318091112</v>
      </c>
      <c r="P13" s="17">
        <f t="shared" si="5"/>
        <v>353.36110070674175</v>
      </c>
      <c r="Q13" s="17">
        <f t="shared" si="5"/>
        <v>427.57201213450554</v>
      </c>
    </row>
    <row r="14" spans="2:25" x14ac:dyDescent="0.25">
      <c r="B14" s="1" t="s">
        <v>8</v>
      </c>
      <c r="C14" s="1">
        <v>1500</v>
      </c>
      <c r="D14">
        <v>1500</v>
      </c>
      <c r="F14" s="1" t="s">
        <v>7</v>
      </c>
      <c r="G14" s="17">
        <f>C10-(G7*G13^2)/2</f>
        <v>211245.13118963907</v>
      </c>
      <c r="H14" s="17">
        <f>H6+H11</f>
        <v>209627.84351944752</v>
      </c>
      <c r="I14" s="17">
        <f t="shared" ref="I14:Q14" si="6">I6+I11</f>
        <v>207514.52213917972</v>
      </c>
      <c r="J14" s="17">
        <f t="shared" si="6"/>
        <v>204713.2877924373</v>
      </c>
      <c r="K14" s="17">
        <f t="shared" si="6"/>
        <v>200937.9393476868</v>
      </c>
      <c r="L14" s="17">
        <f t="shared" si="6"/>
        <v>195753.46736839594</v>
      </c>
      <c r="M14" s="17">
        <f t="shared" si="6"/>
        <v>188480.64064619981</v>
      </c>
      <c r="N14" s="17">
        <f t="shared" si="6"/>
        <v>178025.79022234239</v>
      </c>
      <c r="O14" s="17">
        <f t="shared" si="6"/>
        <v>162564.50726051247</v>
      </c>
      <c r="P14" s="17">
        <f t="shared" si="6"/>
        <v>138925.68707971473</v>
      </c>
      <c r="Q14" s="17">
        <f t="shared" si="6"/>
        <v>101325</v>
      </c>
    </row>
    <row r="15" spans="2:25" x14ac:dyDescent="0.25">
      <c r="F15" s="1" t="s">
        <v>13</v>
      </c>
      <c r="G15" s="17">
        <f>1.185</f>
        <v>1.1850000000000001</v>
      </c>
      <c r="H15" s="17">
        <f t="shared" ref="H15:Q15" si="7">1.185</f>
        <v>1.1850000000000001</v>
      </c>
      <c r="I15" s="17">
        <f t="shared" si="7"/>
        <v>1.1850000000000001</v>
      </c>
      <c r="J15" s="17">
        <f t="shared" si="7"/>
        <v>1.1850000000000001</v>
      </c>
      <c r="K15" s="17">
        <f t="shared" si="7"/>
        <v>1.1850000000000001</v>
      </c>
      <c r="L15" s="17">
        <f t="shared" si="7"/>
        <v>1.1850000000000001</v>
      </c>
      <c r="M15" s="17">
        <f t="shared" si="7"/>
        <v>1.1850000000000001</v>
      </c>
      <c r="N15" s="17">
        <f t="shared" si="7"/>
        <v>1.1850000000000001</v>
      </c>
      <c r="O15" s="17">
        <f t="shared" si="7"/>
        <v>1.1850000000000001</v>
      </c>
      <c r="P15" s="17">
        <f t="shared" si="7"/>
        <v>1.1850000000000001</v>
      </c>
      <c r="Q15" s="17">
        <f t="shared" si="7"/>
        <v>1.1850000000000001</v>
      </c>
    </row>
    <row r="16" spans="2:25" x14ac:dyDescent="0.25"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</row>
    <row r="17" spans="6:24" x14ac:dyDescent="0.25">
      <c r="F17" s="1" t="s">
        <v>16</v>
      </c>
      <c r="G17" s="17">
        <f>$C$11-(G13^2)/(2*$C$8)</f>
        <v>282.48466026247303</v>
      </c>
      <c r="H17" s="17">
        <f t="shared" ref="H17:Q17" si="8">$C$11-(H13^2)/(2*$C$8)</f>
        <v>281.19214124559005</v>
      </c>
      <c r="I17" s="17">
        <f t="shared" si="8"/>
        <v>279.50773419709805</v>
      </c>
      <c r="J17" s="17">
        <f t="shared" si="8"/>
        <v>277.28157800883662</v>
      </c>
      <c r="K17" s="17">
        <f t="shared" si="8"/>
        <v>274.29106988999837</v>
      </c>
      <c r="L17" s="17">
        <f t="shared" si="8"/>
        <v>270.19937944955757</v>
      </c>
      <c r="M17" s="17">
        <f t="shared" si="8"/>
        <v>264.48322344828949</v>
      </c>
      <c r="N17" s="17">
        <f t="shared" si="8"/>
        <v>256.30485105751438</v>
      </c>
      <c r="O17" s="17">
        <f t="shared" si="8"/>
        <v>244.27590882473322</v>
      </c>
      <c r="P17" s="17">
        <f t="shared" si="8"/>
        <v>226.00146381288329</v>
      </c>
      <c r="Q17" s="17">
        <f t="shared" si="8"/>
        <v>197.15152451177335</v>
      </c>
    </row>
    <row r="18" spans="6:24" x14ac:dyDescent="0.25">
      <c r="F18" s="1" t="s">
        <v>17</v>
      </c>
      <c r="G18" s="17">
        <f>SQRT($C$7*$C$6*G17)</f>
        <v>336.88464360190028</v>
      </c>
      <c r="H18" s="17">
        <f t="shared" ref="H18:Q18" si="9">SQRT($C$7*$C$6*H17)</f>
        <v>336.11304589459371</v>
      </c>
      <c r="I18" s="17">
        <f t="shared" si="9"/>
        <v>335.10483568163181</v>
      </c>
      <c r="J18" s="17">
        <f t="shared" si="9"/>
        <v>333.76768658168902</v>
      </c>
      <c r="K18" s="17">
        <f t="shared" si="9"/>
        <v>331.96294924563739</v>
      </c>
      <c r="L18" s="17">
        <f t="shared" si="9"/>
        <v>329.47764544375053</v>
      </c>
      <c r="M18" s="17">
        <f t="shared" si="9"/>
        <v>325.97391220642726</v>
      </c>
      <c r="N18" s="17">
        <f t="shared" si="9"/>
        <v>320.89444059495298</v>
      </c>
      <c r="O18" s="17">
        <f t="shared" si="9"/>
        <v>313.27381721132053</v>
      </c>
      <c r="P18" s="17">
        <f t="shared" si="9"/>
        <v>301.32794245246328</v>
      </c>
      <c r="Q18" s="17">
        <f t="shared" si="9"/>
        <v>281.43872194328497</v>
      </c>
    </row>
    <row r="19" spans="6:24" x14ac:dyDescent="0.25">
      <c r="F19" s="1" t="s">
        <v>18</v>
      </c>
      <c r="G19" s="17">
        <f>G13/G18</f>
        <v>0.31694438872950531</v>
      </c>
      <c r="H19" s="17">
        <f t="shared" ref="H19:Q19" si="10">H13/H18</f>
        <v>0.35199188374156831</v>
      </c>
      <c r="I19" s="17">
        <f t="shared" si="10"/>
        <v>0.39341650990231575</v>
      </c>
      <c r="J19" s="17">
        <f t="shared" si="10"/>
        <v>0.4429013582998057</v>
      </c>
      <c r="K19" s="17">
        <f t="shared" si="10"/>
        <v>0.50280572659237555</v>
      </c>
      <c r="L19" s="17">
        <f t="shared" si="10"/>
        <v>0.57650498240473735</v>
      </c>
      <c r="M19" s="17">
        <f t="shared" si="10"/>
        <v>0.66903184931765469</v>
      </c>
      <c r="N19" s="17">
        <f t="shared" si="10"/>
        <v>0.78830807766194766</v>
      </c>
      <c r="O19" s="17">
        <f t="shared" si="10"/>
        <v>0.94775875565952661</v>
      </c>
      <c r="P19" s="17">
        <f t="shared" si="10"/>
        <v>1.1726794993879039</v>
      </c>
      <c r="Q19" s="17">
        <f t="shared" si="10"/>
        <v>1.5192366181248829</v>
      </c>
    </row>
    <row r="20" spans="6:24" x14ac:dyDescent="0.25">
      <c r="F20" s="2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6:24" x14ac:dyDescent="0.25">
      <c r="F21" s="2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S21" s="3"/>
      <c r="T21" s="3"/>
      <c r="U21" s="3"/>
      <c r="V21" s="3"/>
      <c r="W21" s="3"/>
      <c r="X21" s="3"/>
    </row>
    <row r="22" spans="6:24" x14ac:dyDescent="0.25">
      <c r="F22" s="2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S22" s="3"/>
      <c r="T22" s="3"/>
      <c r="U22" s="3"/>
      <c r="V22" s="3"/>
      <c r="W22" s="3"/>
      <c r="X22" s="3"/>
    </row>
    <row r="23" spans="6:24" x14ac:dyDescent="0.25">
      <c r="F23" s="2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S23" s="3"/>
      <c r="T23" s="3"/>
      <c r="U23" s="3"/>
      <c r="V23" s="3"/>
      <c r="W23" s="3"/>
      <c r="X23" s="3"/>
    </row>
    <row r="24" spans="6:24" x14ac:dyDescent="0.25">
      <c r="S24" s="3"/>
      <c r="T24" s="3"/>
      <c r="U24" s="3"/>
      <c r="V24" s="3"/>
      <c r="W24" s="3"/>
      <c r="X24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0</xdr:colOff>
                    <xdr:row>15</xdr:row>
                    <xdr:rowOff>133350</xdr:rowOff>
                  </from>
                  <to>
                    <xdr:col>3</xdr:col>
                    <xdr:colOff>361950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1:X24"/>
  <sheetViews>
    <sheetView zoomScale="70" zoomScaleNormal="70" workbookViewId="0">
      <selection activeCell="R42" sqref="R42"/>
    </sheetView>
  </sheetViews>
  <sheetFormatPr defaultRowHeight="15" x14ac:dyDescent="0.25"/>
  <cols>
    <col min="7" max="7" width="9.7109375" bestFit="1" customWidth="1"/>
    <col min="8" max="17" width="9.5703125" bestFit="1" customWidth="1"/>
  </cols>
  <sheetData>
    <row r="1" spans="2:17" x14ac:dyDescent="0.25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 x14ac:dyDescent="0.25">
      <c r="F2" s="1" t="s">
        <v>10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 x14ac:dyDescent="0.25">
      <c r="B3" s="1" t="s">
        <v>0</v>
      </c>
      <c r="C3" s="1">
        <v>0.1</v>
      </c>
      <c r="F3" s="1" t="s">
        <v>3</v>
      </c>
      <c r="G3" s="11">
        <v>0.08</v>
      </c>
      <c r="H3" s="11">
        <f>G3+($Q$3-$G$3)/10</f>
        <v>7.5999999999999998E-2</v>
      </c>
      <c r="I3" s="11">
        <f t="shared" ref="I3:P3" si="1">H3+($Q$3-$G$3)/10</f>
        <v>7.1999999999999995E-2</v>
      </c>
      <c r="J3" s="11">
        <f t="shared" si="1"/>
        <v>6.7999999999999991E-2</v>
      </c>
      <c r="K3" s="11">
        <f t="shared" si="1"/>
        <v>6.3999999999999987E-2</v>
      </c>
      <c r="L3" s="11">
        <f t="shared" si="1"/>
        <v>5.9999999999999984E-2</v>
      </c>
      <c r="M3" s="11">
        <f t="shared" si="1"/>
        <v>5.599999999999998E-2</v>
      </c>
      <c r="N3" s="11">
        <f t="shared" si="1"/>
        <v>5.1999999999999977E-2</v>
      </c>
      <c r="O3" s="11">
        <f t="shared" si="1"/>
        <v>4.7999999999999973E-2</v>
      </c>
      <c r="P3" s="11">
        <f t="shared" si="1"/>
        <v>4.399999999999997E-2</v>
      </c>
      <c r="Q3" s="11">
        <v>0.04</v>
      </c>
    </row>
    <row r="4" spans="2:17" x14ac:dyDescent="0.25">
      <c r="B4" s="1" t="s">
        <v>1</v>
      </c>
      <c r="C4" s="1">
        <f>C3/10</f>
        <v>0.01</v>
      </c>
      <c r="F4" s="1" t="s">
        <v>11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 x14ac:dyDescent="0.25">
      <c r="F5" s="1" t="s">
        <v>12</v>
      </c>
      <c r="G5" s="11">
        <v>44.280058829103695</v>
      </c>
      <c r="H5" s="11">
        <v>49.167521397240662</v>
      </c>
      <c r="I5" s="11">
        <v>54.90800996055215</v>
      </c>
      <c r="J5" s="11">
        <v>61.776175505769835</v>
      </c>
      <c r="K5" s="11">
        <v>70.105343915275839</v>
      </c>
      <c r="L5" s="11">
        <v>80.375272411770609</v>
      </c>
      <c r="M5" s="11">
        <v>93.311035504256878</v>
      </c>
      <c r="N5" s="11">
        <v>110.08900148034917</v>
      </c>
      <c r="O5" s="11">
        <v>132.84483372608193</v>
      </c>
      <c r="P5" s="11">
        <v>166.34447275673128</v>
      </c>
      <c r="Q5" s="11">
        <v>421.41061851010818</v>
      </c>
    </row>
    <row r="6" spans="2:17" x14ac:dyDescent="0.25">
      <c r="B6" s="1" t="s">
        <v>2</v>
      </c>
      <c r="C6" s="1">
        <v>1.4</v>
      </c>
      <c r="F6" s="1" t="s">
        <v>7</v>
      </c>
      <c r="G6" s="11">
        <v>345885.48181827401</v>
      </c>
      <c r="H6" s="11">
        <v>344879.25937080476</v>
      </c>
      <c r="I6" s="11">
        <v>343562.97041012999</v>
      </c>
      <c r="J6" s="11">
        <v>341797.63022535248</v>
      </c>
      <c r="K6" s="11">
        <v>339380.5659845976</v>
      </c>
      <c r="L6" s="11">
        <v>335988.65948717593</v>
      </c>
      <c r="M6" s="11">
        <v>331081.85058878252</v>
      </c>
      <c r="N6" s="11">
        <v>323696.64769306255</v>
      </c>
      <c r="O6" s="11">
        <v>311934.4041231263</v>
      </c>
      <c r="P6" s="11">
        <v>291317.57904759562</v>
      </c>
      <c r="Q6" s="11">
        <v>101325</v>
      </c>
    </row>
    <row r="7" spans="2:17" x14ac:dyDescent="0.25">
      <c r="B7" s="1" t="s">
        <v>3</v>
      </c>
      <c r="C7" s="1">
        <v>286.97199999999998</v>
      </c>
      <c r="F7" s="1" t="s">
        <v>13</v>
      </c>
      <c r="G7" s="11">
        <v>4.1969391264855913</v>
      </c>
      <c r="H7" s="11">
        <v>4.1880453558893604</v>
      </c>
      <c r="I7" s="11">
        <v>4.176389567062591</v>
      </c>
      <c r="J7" s="11">
        <v>4.1607204320259426</v>
      </c>
      <c r="K7" s="11">
        <v>4.139204255460089</v>
      </c>
      <c r="L7" s="11">
        <v>4.1088992233295718</v>
      </c>
      <c r="M7" s="11">
        <v>4.0648478096841334</v>
      </c>
      <c r="N7" s="11">
        <v>3.9981069552022133</v>
      </c>
      <c r="O7" s="11">
        <v>3.890778917374957</v>
      </c>
      <c r="P7" s="11">
        <v>3.6996975473600591</v>
      </c>
      <c r="Q7" s="11">
        <v>1.7675767798836417</v>
      </c>
    </row>
    <row r="8" spans="2:17" x14ac:dyDescent="0.25">
      <c r="B8" s="1" t="s">
        <v>4</v>
      </c>
      <c r="C8" s="1">
        <v>1004.4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2:17" x14ac:dyDescent="0.25"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2:17" x14ac:dyDescent="0.25">
      <c r="B10" s="1" t="s">
        <v>5</v>
      </c>
      <c r="C10" s="1">
        <v>350000</v>
      </c>
      <c r="F10" s="1" t="s">
        <v>14</v>
      </c>
      <c r="G10" s="10">
        <f t="shared" ref="G10:Q10" si="3">G4*G7*G13</f>
        <v>3.7365151638484457</v>
      </c>
      <c r="H10" s="10">
        <f t="shared" si="3"/>
        <v>3.7364813273297557</v>
      </c>
      <c r="I10" s="10">
        <f t="shared" si="3"/>
        <v>3.7346488830186</v>
      </c>
      <c r="J10" s="10">
        <f t="shared" si="3"/>
        <v>3.7338523992900572</v>
      </c>
      <c r="K10" s="10">
        <f t="shared" si="3"/>
        <v>3.7340394825870904</v>
      </c>
      <c r="L10" s="10">
        <f t="shared" si="3"/>
        <v>3.7350992126599238</v>
      </c>
      <c r="M10" s="10">
        <f t="shared" si="3"/>
        <v>3.736846777463863</v>
      </c>
      <c r="N10" s="10">
        <f t="shared" si="3"/>
        <v>3.7390113973563137</v>
      </c>
      <c r="O10" s="10">
        <f t="shared" si="3"/>
        <v>3.7412347561835015</v>
      </c>
      <c r="P10" s="10">
        <f t="shared" si="3"/>
        <v>3.7430922732157503</v>
      </c>
      <c r="Q10" s="10">
        <f t="shared" si="3"/>
        <v>3.7441534079009555</v>
      </c>
    </row>
    <row r="11" spans="2:17" x14ac:dyDescent="0.25">
      <c r="B11" s="1" t="s">
        <v>6</v>
      </c>
      <c r="C11" s="1">
        <v>288.16000000000003</v>
      </c>
      <c r="F11" s="1" t="s">
        <v>15</v>
      </c>
      <c r="G11" s="12">
        <v>0</v>
      </c>
      <c r="H11" s="12">
        <f>(H13)*(H10-I10)</f>
        <v>9.0095928994734759E-2</v>
      </c>
      <c r="I11" s="12">
        <f t="shared" ref="I11:P11" si="4">(I13)*(I10-J10)</f>
        <v>4.3733155832505331E-2</v>
      </c>
      <c r="J11" s="12">
        <f t="shared" si="4"/>
        <v>-1.1557287779604996E-2</v>
      </c>
      <c r="K11" s="12">
        <f t="shared" si="4"/>
        <v>-7.4292929905964158E-2</v>
      </c>
      <c r="L11" s="12">
        <f t="shared" si="4"/>
        <v>-0.14046158616873125</v>
      </c>
      <c r="M11" s="12">
        <f t="shared" si="4"/>
        <v>-0.20198388408330123</v>
      </c>
      <c r="N11" s="12">
        <f t="shared" si="4"/>
        <v>-0.24476841753475101</v>
      </c>
      <c r="O11" s="12">
        <f t="shared" si="4"/>
        <v>-0.2467623307109188</v>
      </c>
      <c r="P11" s="12">
        <f t="shared" si="4"/>
        <v>-0.17651417876380965</v>
      </c>
      <c r="Q11" s="11">
        <v>0</v>
      </c>
    </row>
    <row r="12" spans="2:17" x14ac:dyDescent="0.25">
      <c r="B12" s="1" t="s">
        <v>7</v>
      </c>
      <c r="C12" s="1">
        <v>101325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2:17" x14ac:dyDescent="0.25">
      <c r="F13" s="1" t="s">
        <v>12</v>
      </c>
      <c r="G13" s="11">
        <f>(H4*H5*H7)/(G4*G7)</f>
        <v>44.279655388571626</v>
      </c>
      <c r="H13" s="13">
        <f t="shared" ref="H13:Q13" si="5">((G6-H6)/H7+G5*H5)^0.5</f>
        <v>49.167076154097323</v>
      </c>
      <c r="I13" s="13">
        <f t="shared" si="5"/>
        <v>54.907783128874669</v>
      </c>
      <c r="J13" s="13">
        <f t="shared" si="5"/>
        <v>61.776160474409025</v>
      </c>
      <c r="K13" s="13">
        <f t="shared" si="5"/>
        <v>70.105521972519099</v>
      </c>
      <c r="L13" s="13">
        <f t="shared" si="5"/>
        <v>80.375609449287566</v>
      </c>
      <c r="M13" s="13">
        <f t="shared" si="5"/>
        <v>93.311479205994601</v>
      </c>
      <c r="N13" s="13">
        <f t="shared" si="5"/>
        <v>110.08948017821383</v>
      </c>
      <c r="O13" s="13">
        <f t="shared" si="5"/>
        <v>132.8452587119364</v>
      </c>
      <c r="P13" s="13">
        <f t="shared" si="5"/>
        <v>166.34474513447597</v>
      </c>
      <c r="Q13" s="13">
        <f t="shared" si="5"/>
        <v>421.4106349888167</v>
      </c>
    </row>
    <row r="14" spans="2:17" x14ac:dyDescent="0.25">
      <c r="B14" s="1" t="s">
        <v>8</v>
      </c>
      <c r="C14" s="1">
        <v>1500</v>
      </c>
      <c r="D14">
        <v>1500</v>
      </c>
      <c r="F14" s="1" t="s">
        <v>7</v>
      </c>
      <c r="G14" s="14">
        <f>C10-(G7*G13^2)/2</f>
        <v>345885.55615800864</v>
      </c>
      <c r="H14" s="14">
        <f>H6+H11</f>
        <v>344879.34946673375</v>
      </c>
      <c r="I14" s="14">
        <f t="shared" ref="I14:Q14" si="6">I6+I11</f>
        <v>343563.01414328581</v>
      </c>
      <c r="J14" s="14">
        <f t="shared" si="6"/>
        <v>341797.61866806471</v>
      </c>
      <c r="K14" s="14">
        <f t="shared" si="6"/>
        <v>339380.4916916677</v>
      </c>
      <c r="L14" s="14">
        <f t="shared" si="6"/>
        <v>335988.51902558975</v>
      </c>
      <c r="M14" s="14">
        <f t="shared" si="6"/>
        <v>331081.64860489842</v>
      </c>
      <c r="N14" s="14">
        <f t="shared" si="6"/>
        <v>323696.40292464499</v>
      </c>
      <c r="O14" s="14">
        <f t="shared" si="6"/>
        <v>311934.15736079559</v>
      </c>
      <c r="P14" s="14">
        <f t="shared" si="6"/>
        <v>291317.40253341687</v>
      </c>
      <c r="Q14" s="14">
        <f t="shared" si="6"/>
        <v>101325</v>
      </c>
    </row>
    <row r="15" spans="2:17" x14ac:dyDescent="0.25">
      <c r="F15" s="1" t="s">
        <v>13</v>
      </c>
      <c r="G15" s="10">
        <f>G14/($C$7*G17)</f>
        <v>4.1969397685891989</v>
      </c>
      <c r="H15" s="10">
        <f t="shared" ref="H15:Q15" si="7">H14/($C$7*H17)</f>
        <v>4.188046131871439</v>
      </c>
      <c r="I15" s="10">
        <f t="shared" si="7"/>
        <v>4.1763899180255963</v>
      </c>
      <c r="J15" s="10">
        <f t="shared" si="7"/>
        <v>4.160720277900924</v>
      </c>
      <c r="K15" s="10">
        <f t="shared" si="7"/>
        <v>4.1392035294065339</v>
      </c>
      <c r="L15" s="10">
        <f t="shared" si="7"/>
        <v>4.1088978945059154</v>
      </c>
      <c r="M15" s="10">
        <f t="shared" si="7"/>
        <v>4.0648459201848013</v>
      </c>
      <c r="N15" s="10">
        <f t="shared" si="7"/>
        <v>3.9981046755183747</v>
      </c>
      <c r="O15" s="10">
        <f t="shared" si="7"/>
        <v>3.8907766223122979</v>
      </c>
      <c r="P15" s="10">
        <f t="shared" si="7"/>
        <v>3.6996959138968788</v>
      </c>
      <c r="Q15" s="10">
        <f t="shared" si="7"/>
        <v>1.7675768410625121</v>
      </c>
    </row>
    <row r="16" spans="2:17" x14ac:dyDescent="0.25"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6:24" x14ac:dyDescent="0.25">
      <c r="F17" s="1" t="s">
        <v>16</v>
      </c>
      <c r="G17" s="13">
        <f>$C$11-(G13^2)/(2*$C$8)</f>
        <v>287.18395067635873</v>
      </c>
      <c r="H17" s="13">
        <f t="shared" ref="H17:Q17" si="8">$C$11-(H13^2)/(2*$C$8)</f>
        <v>286.95659429632479</v>
      </c>
      <c r="I17" s="13">
        <f t="shared" si="8"/>
        <v>286.65917132211894</v>
      </c>
      <c r="J17" s="13">
        <f t="shared" si="8"/>
        <v>286.26021206543214</v>
      </c>
      <c r="K17" s="13">
        <f t="shared" si="8"/>
        <v>285.71337305304695</v>
      </c>
      <c r="L17" s="13">
        <f t="shared" si="8"/>
        <v>284.94403096657487</v>
      </c>
      <c r="M17" s="13">
        <f t="shared" si="8"/>
        <v>283.8255554800823</v>
      </c>
      <c r="N17" s="13">
        <f t="shared" si="8"/>
        <v>282.12669969837253</v>
      </c>
      <c r="O17" s="13">
        <f t="shared" si="8"/>
        <v>279.37472383400973</v>
      </c>
      <c r="P17" s="13">
        <f t="shared" si="8"/>
        <v>274.38532146861127</v>
      </c>
      <c r="Q17" s="13">
        <f t="shared" si="8"/>
        <v>199.75551807961088</v>
      </c>
    </row>
    <row r="18" spans="6:24" x14ac:dyDescent="0.25">
      <c r="F18" s="1" t="s">
        <v>17</v>
      </c>
      <c r="G18" s="15">
        <f>SQRT($C$6*$C$7*G17)</f>
        <v>339.67521806998877</v>
      </c>
      <c r="H18" s="15">
        <f t="shared" ref="H18:Q18" si="9">SQRT($C$6*$C$7*H17)</f>
        <v>339.54073524360354</v>
      </c>
      <c r="I18" s="15">
        <f t="shared" si="9"/>
        <v>339.36472709713303</v>
      </c>
      <c r="J18" s="15">
        <f t="shared" si="9"/>
        <v>339.1284886404822</v>
      </c>
      <c r="K18" s="15">
        <f t="shared" si="9"/>
        <v>338.80441751619855</v>
      </c>
      <c r="L18" s="15">
        <f t="shared" si="9"/>
        <v>338.3479597047334</v>
      </c>
      <c r="M18" s="15">
        <f t="shared" si="9"/>
        <v>337.68325725466792</v>
      </c>
      <c r="N18" s="15">
        <f t="shared" si="9"/>
        <v>336.67112821294597</v>
      </c>
      <c r="O18" s="15">
        <f t="shared" si="9"/>
        <v>335.0250924144799</v>
      </c>
      <c r="P18" s="15">
        <f t="shared" si="9"/>
        <v>332.01997870833981</v>
      </c>
      <c r="Q18" s="15">
        <f t="shared" si="9"/>
        <v>283.29125780383504</v>
      </c>
    </row>
    <row r="19" spans="6:24" x14ac:dyDescent="0.25">
      <c r="F19" s="1" t="s">
        <v>18</v>
      </c>
      <c r="G19" s="12">
        <f>G13/G18</f>
        <v>0.13035880462568208</v>
      </c>
      <c r="H19" s="12">
        <f t="shared" ref="H19:Q19" si="10">H13/H18</f>
        <v>0.14480464654358011</v>
      </c>
      <c r="I19" s="12">
        <f t="shared" si="10"/>
        <v>0.16179578708296033</v>
      </c>
      <c r="J19" s="12">
        <f t="shared" si="10"/>
        <v>0.18216151855027235</v>
      </c>
      <c r="K19" s="12">
        <f t="shared" si="10"/>
        <v>0.20692033027924522</v>
      </c>
      <c r="L19" s="12">
        <f t="shared" si="10"/>
        <v>0.23755310810630886</v>
      </c>
      <c r="M19" s="12">
        <f t="shared" si="10"/>
        <v>0.27632841487199533</v>
      </c>
      <c r="N19" s="12">
        <f t="shared" si="10"/>
        <v>0.32699412261030519</v>
      </c>
      <c r="O19" s="12">
        <f t="shared" si="10"/>
        <v>0.39652331040203237</v>
      </c>
      <c r="P19" s="12">
        <f t="shared" si="10"/>
        <v>0.50100823987040888</v>
      </c>
      <c r="Q19" s="12">
        <f t="shared" si="10"/>
        <v>1.4875525572364199</v>
      </c>
    </row>
    <row r="20" spans="6:24" x14ac:dyDescent="0.25">
      <c r="F20" s="11" t="s">
        <v>19</v>
      </c>
      <c r="G20" s="11">
        <f>1-((($C$6-1)/($C$6+1))*G21^2)</f>
        <v>0.99671303011728174</v>
      </c>
      <c r="H20" s="11">
        <f t="shared" ref="H20:Q20" si="11">1-((($C$6-1)/($C$6+1))*H21^2)</f>
        <v>0.99597511360808921</v>
      </c>
      <c r="I20" s="11">
        <f t="shared" si="11"/>
        <v>0.99502489977703212</v>
      </c>
      <c r="J20" s="11">
        <f t="shared" si="11"/>
        <v>0.99377646509452411</v>
      </c>
      <c r="K20" s="11">
        <f t="shared" si="11"/>
        <v>0.99211224037940104</v>
      </c>
      <c r="L20" s="11">
        <f t="shared" si="11"/>
        <v>0.98985832374993499</v>
      </c>
      <c r="M20" s="11">
        <f t="shared" si="11"/>
        <v>0.98675172838748226</v>
      </c>
      <c r="N20" s="11">
        <f t="shared" si="11"/>
        <v>0.98238248075144408</v>
      </c>
      <c r="O20" s="11">
        <f t="shared" si="11"/>
        <v>0.9760767829084267</v>
      </c>
      <c r="P20" s="11">
        <f t="shared" si="11"/>
        <v>0.96657707554561456</v>
      </c>
      <c r="Q20" s="11">
        <f t="shared" si="11"/>
        <v>0.9184310555788946</v>
      </c>
    </row>
    <row r="21" spans="6:24" x14ac:dyDescent="0.25">
      <c r="F21" s="11" t="s">
        <v>20</v>
      </c>
      <c r="G21" s="11">
        <f>SQRT(((($C$6+1)/2)*G19^2)/(1+2*G19^2))</f>
        <v>0.14043439499036495</v>
      </c>
      <c r="H21" s="11">
        <f>SQRT(((($C$6+1)/2)*H19^2)/(1+2*H19^2))</f>
        <v>0.15540050949551171</v>
      </c>
      <c r="I21" s="11">
        <f t="shared" ref="I21:Q21" si="12">SQRT(((($C$6+1)/2)*I19^2)/(1+2*I19^2))</f>
        <v>0.17277326569179402</v>
      </c>
      <c r="J21" s="11">
        <f t="shared" si="12"/>
        <v>0.19323873688485746</v>
      </c>
      <c r="K21" s="11">
        <f t="shared" si="12"/>
        <v>0.21754667941293379</v>
      </c>
      <c r="L21" s="11">
        <f t="shared" si="12"/>
        <v>0.24667804422037701</v>
      </c>
      <c r="M21" s="11">
        <f t="shared" si="12"/>
        <v>0.28193905312160311</v>
      </c>
      <c r="N21" s="11">
        <f t="shared" si="12"/>
        <v>0.32512323123907294</v>
      </c>
      <c r="O21" s="11">
        <f t="shared" si="12"/>
        <v>0.37886581074232623</v>
      </c>
      <c r="P21" s="11">
        <f t="shared" si="12"/>
        <v>0.4478141877233377</v>
      </c>
      <c r="Q21" s="11">
        <f t="shared" si="12"/>
        <v>0.69958106501436468</v>
      </c>
      <c r="S21" s="3"/>
      <c r="T21" s="3"/>
      <c r="U21" s="3"/>
      <c r="V21" s="3"/>
      <c r="W21" s="3"/>
      <c r="X21" s="3"/>
    </row>
    <row r="22" spans="6:24" x14ac:dyDescent="0.25">
      <c r="F22" s="11" t="s">
        <v>21</v>
      </c>
      <c r="G22" s="11">
        <f>(1-((($C$6-1)/($C$6+1))*G21^2))^($C$6/($C$6-1))</f>
        <v>0.9885427960059292</v>
      </c>
      <c r="H22" s="11">
        <f t="shared" ref="H22:Q22" si="13">(1-((($C$6-1)/($C$6+1))*H21^2))^($C$6/($C$6-1))</f>
        <v>0.98598362880403378</v>
      </c>
      <c r="I22" s="11">
        <f t="shared" si="13"/>
        <v>0.98269516836177517</v>
      </c>
      <c r="J22" s="11">
        <f t="shared" si="13"/>
        <v>0.97838655513115991</v>
      </c>
      <c r="K22" s="11">
        <f t="shared" si="13"/>
        <v>0.97266396715912518</v>
      </c>
      <c r="L22" s="11">
        <f t="shared" si="13"/>
        <v>0.96495183870945589</v>
      </c>
      <c r="M22" s="11">
        <f t="shared" si="13"/>
        <v>0.95439385677830646</v>
      </c>
      <c r="N22" s="11">
        <f t="shared" si="13"/>
        <v>0.93968464691644049</v>
      </c>
      <c r="O22" s="11">
        <f t="shared" si="13"/>
        <v>0.91874278065402615</v>
      </c>
      <c r="P22" s="11">
        <f t="shared" si="13"/>
        <v>0.88782571020734091</v>
      </c>
      <c r="Q22" s="11">
        <f t="shared" si="13"/>
        <v>0.74244273422226659</v>
      </c>
      <c r="S22" s="3"/>
      <c r="T22" s="3"/>
      <c r="U22" s="3"/>
      <c r="V22" s="3"/>
      <c r="W22" s="3"/>
      <c r="X22" s="3"/>
    </row>
    <row r="23" spans="6:24" x14ac:dyDescent="0.25">
      <c r="F23" s="11" t="s">
        <v>5</v>
      </c>
      <c r="G23" s="11">
        <f>G14/G22</f>
        <v>349894.36730054737</v>
      </c>
      <c r="H23" s="11">
        <f t="shared" ref="H23:Q23" si="14">H14/H22</f>
        <v>349782.02415496617</v>
      </c>
      <c r="I23" s="11">
        <f t="shared" si="14"/>
        <v>349613.00839204341</v>
      </c>
      <c r="J23" s="11">
        <f t="shared" si="14"/>
        <v>349348.23754016554</v>
      </c>
      <c r="K23" s="11">
        <f t="shared" si="14"/>
        <v>348918.54037001246</v>
      </c>
      <c r="L23" s="11">
        <f t="shared" si="14"/>
        <v>348192.00870682509</v>
      </c>
      <c r="M23" s="11">
        <f t="shared" si="14"/>
        <v>346902.53531441628</v>
      </c>
      <c r="N23" s="11">
        <f t="shared" si="14"/>
        <v>344473.44009168324</v>
      </c>
      <c r="O23" s="11">
        <f t="shared" si="14"/>
        <v>339522.83917674847</v>
      </c>
      <c r="P23" s="11">
        <f t="shared" si="14"/>
        <v>328124.5397425844</v>
      </c>
      <c r="Q23" s="11">
        <f t="shared" si="14"/>
        <v>136475.17219781442</v>
      </c>
      <c r="S23" s="3"/>
      <c r="T23" s="3"/>
      <c r="U23" s="3"/>
      <c r="V23" s="3"/>
      <c r="W23" s="3"/>
      <c r="X23" s="3"/>
    </row>
    <row r="24" spans="6:24" x14ac:dyDescent="0.25">
      <c r="S24" s="3"/>
      <c r="T24" s="3"/>
      <c r="U24" s="3"/>
      <c r="V24" s="3"/>
      <c r="W24" s="3"/>
      <c r="X24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Макрос1">
                <anchor moveWithCells="1" sizeWithCells="1">
                  <from>
                    <xdr:col>1</xdr:col>
                    <xdr:colOff>0</xdr:colOff>
                    <xdr:row>15</xdr:row>
                    <xdr:rowOff>133350</xdr:rowOff>
                  </from>
                  <to>
                    <xdr:col>3</xdr:col>
                    <xdr:colOff>361950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p135(const)</vt:lpstr>
      <vt:lpstr>p135(var)</vt:lpstr>
      <vt:lpstr>p105(const)</vt:lpstr>
      <vt:lpstr>p105(var)</vt:lpstr>
      <vt:lpstr>M1,5(const)</vt:lpstr>
      <vt:lpstr>M1,5(var)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2021-05-22T13:32:23Z</dcterms:created>
  <dcterms:modified xsi:type="dcterms:W3CDTF">2021-05-23T10:52:03Z</dcterms:modified>
</cp:coreProperties>
</file>